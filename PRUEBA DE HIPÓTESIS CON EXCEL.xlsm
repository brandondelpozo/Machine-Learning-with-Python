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02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2B43\"/>
    </mc:Choice>
  </mc:AlternateContent>
  <xr:revisionPtr revIDLastSave="0" documentId="8_{4C53C30A-4315-490F-9DC6-E0DF3C199231}" xr6:coauthVersionLast="40" xr6:coauthVersionMax="40" xr10:uidLastSave="{00000000-0000-0000-0000-000000000000}"/>
  <bookViews>
    <workbookView xWindow="-120" yWindow="-120" windowWidth="15600" windowHeight="11760" activeTab="2"/>
  </bookViews>
  <sheets>
    <sheet name="Lista" sheetId="7" r:id="rId1"/>
    <sheet name="Inicio" sheetId="2" r:id="rId2"/>
    <sheet name="Media" sheetId="3" r:id="rId3"/>
    <sheet name="DifMedias" sheetId="6" r:id="rId4"/>
    <sheet name="Output" sheetId="8" r:id="rId5"/>
    <sheet name="Proporcion" sheetId="5" r:id="rId6"/>
    <sheet name="DifProp" sheetId="4" r:id="rId7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5" i="3" l="1"/>
  <c r="L34" i="3"/>
  <c r="L11" i="3"/>
  <c r="L24" i="3"/>
  <c r="L30" i="3"/>
  <c r="L29" i="3"/>
  <c r="H12" i="3"/>
  <c r="L10" i="3"/>
  <c r="L18" i="3"/>
  <c r="L9" i="3"/>
  <c r="K17" i="3"/>
  <c r="L34" i="6"/>
  <c r="L35" i="6"/>
  <c r="J12" i="6"/>
  <c r="L24" i="6"/>
  <c r="K33" i="6"/>
  <c r="K22" i="6"/>
  <c r="I24" i="6"/>
  <c r="F11" i="6"/>
  <c r="L30" i="6"/>
  <c r="L29" i="6"/>
  <c r="J11" i="6"/>
  <c r="L19" i="6"/>
  <c r="I30" i="6"/>
  <c r="I29" i="6"/>
  <c r="I19" i="6"/>
  <c r="I18" i="6"/>
  <c r="K28" i="6"/>
  <c r="K17" i="6"/>
  <c r="K10" i="6"/>
  <c r="J10" i="6"/>
  <c r="K9" i="6"/>
  <c r="J9" i="6"/>
  <c r="K8" i="6"/>
  <c r="J8" i="6"/>
  <c r="F20" i="5"/>
  <c r="F21" i="5"/>
  <c r="H9" i="5"/>
  <c r="F15" i="5"/>
  <c r="F14" i="5"/>
  <c r="H8" i="5"/>
  <c r="E13" i="5"/>
  <c r="L8" i="4"/>
  <c r="L9" i="4"/>
  <c r="D14" i="4"/>
  <c r="D21" i="5"/>
  <c r="D20" i="5"/>
  <c r="D15" i="5"/>
  <c r="D14" i="5"/>
  <c r="D21" i="4"/>
  <c r="D20" i="4"/>
  <c r="D15" i="4"/>
  <c r="L14" i="6"/>
  <c r="J35" i="6"/>
  <c r="J34" i="6"/>
  <c r="J30" i="6"/>
  <c r="J29" i="6"/>
  <c r="J24" i="6"/>
  <c r="J23" i="6"/>
  <c r="J19" i="6"/>
  <c r="J18" i="6"/>
  <c r="K6" i="6"/>
  <c r="G11" i="4"/>
  <c r="K13" i="4"/>
  <c r="N6" i="5"/>
  <c r="N5" i="5"/>
  <c r="G11" i="5"/>
  <c r="M6" i="5"/>
  <c r="E16" i="3"/>
  <c r="F16" i="3"/>
  <c r="F15" i="3"/>
  <c r="J35" i="3"/>
  <c r="J34" i="3"/>
  <c r="J30" i="3"/>
  <c r="J29" i="3"/>
  <c r="J24" i="3"/>
  <c r="J23" i="3"/>
  <c r="J19" i="3"/>
  <c r="J18" i="3"/>
  <c r="M14" i="3"/>
  <c r="H13" i="6"/>
  <c r="C21" i="5"/>
  <c r="C15" i="5"/>
  <c r="C14" i="5"/>
  <c r="E19" i="5"/>
  <c r="C20" i="5"/>
  <c r="I23" i="6"/>
  <c r="L23" i="6"/>
  <c r="L18" i="6"/>
  <c r="I35" i="6"/>
  <c r="I34" i="6"/>
  <c r="L19" i="3"/>
  <c r="L23" i="3"/>
  <c r="I18" i="3"/>
  <c r="I19" i="3"/>
  <c r="K22" i="3"/>
  <c r="I23" i="3"/>
  <c r="I24" i="3"/>
  <c r="K33" i="3"/>
  <c r="I34" i="3"/>
  <c r="I30" i="3"/>
  <c r="I35" i="3"/>
  <c r="K28" i="3"/>
  <c r="I29" i="3"/>
  <c r="J12" i="3"/>
</calcChain>
</file>

<file path=xl/sharedStrings.xml><?xml version="1.0" encoding="utf-8"?>
<sst xmlns="http://schemas.openxmlformats.org/spreadsheetml/2006/main" count="202" uniqueCount="81">
  <si>
    <t>Ingreso de datos</t>
  </si>
  <si>
    <t>Cálculos Estadísticos</t>
  </si>
  <si>
    <t>Media</t>
  </si>
  <si>
    <t>Desviación Estándar</t>
  </si>
  <si>
    <t>Tamaño de Muestra</t>
  </si>
  <si>
    <t>Valor Tabular: Dist.Normal</t>
  </si>
  <si>
    <t>Valor Tabular: Dist. T Student</t>
  </si>
  <si>
    <t>Muestra N° 1</t>
  </si>
  <si>
    <t>Muestra N° 2</t>
  </si>
  <si>
    <t>Ingreso de datos para la Muestra N° 1</t>
  </si>
  <si>
    <t>Ingreso de datos para la Muestra N° 2</t>
  </si>
  <si>
    <t>Ingrese número de éxitos en la Muestra       ( a )</t>
  </si>
  <si>
    <t>Ingrese el tamaño de Muestra       ( n )</t>
  </si>
  <si>
    <t>PRUEBA DE HIPOTESIS PARA LA MEDIA POBLACIONAL</t>
  </si>
  <si>
    <t>Nivel de Significancia</t>
  </si>
  <si>
    <t>Valor de la Media Poblacional</t>
  </si>
  <si>
    <t>con</t>
  </si>
  <si>
    <t>Media de la muestra =&gt;</t>
  </si>
  <si>
    <t>Desviación Estándar de la muestra =&gt;</t>
  </si>
  <si>
    <t>Tamaño de la Muestra =&gt;</t>
  </si>
  <si>
    <t>Desviación Estándar de la Media muestral =&gt;</t>
  </si>
  <si>
    <t>Valor Tabular: Dist.Normal =&gt;</t>
  </si>
  <si>
    <t>Valor Tabular: Dist. T Student =&gt;</t>
  </si>
  <si>
    <t>en Ho:</t>
  </si>
  <si>
    <t>Estadístico de Prueba Zp:</t>
  </si>
  <si>
    <t>Aceptamos Ho</t>
  </si>
  <si>
    <t>Rechazamos Ho</t>
  </si>
  <si>
    <t>Zc =</t>
  </si>
  <si>
    <t>tc =</t>
  </si>
  <si>
    <t>Ho:Mayor que</t>
  </si>
  <si>
    <t>Ho:Menor que</t>
  </si>
  <si>
    <t>Ho:Diferente que</t>
  </si>
  <si>
    <t>Mayor que</t>
  </si>
  <si>
    <t>Menor que</t>
  </si>
  <si>
    <t>Diferente que</t>
  </si>
  <si>
    <t>Tipo de contrastación de la Hipótesis:</t>
  </si>
  <si>
    <t>Si         Zp =</t>
  </si>
  <si>
    <t>Determinacion de la hipótesis</t>
  </si>
  <si>
    <t>Ho: Media</t>
  </si>
  <si>
    <t>H1: Media</t>
  </si>
  <si>
    <t>=</t>
  </si>
  <si>
    <t>g.l.</t>
  </si>
  <si>
    <t>PRUEBA DE HIPOTESIS PARA LA PROPORCIÓN POBLACIONAL</t>
  </si>
  <si>
    <t>CASO I : Si el tamaño de muestra es grande ( n &gt;= 30 )</t>
  </si>
  <si>
    <t>CASO II : Si el tamaño de muestra es pequeño ( n &lt; 30 )</t>
  </si>
  <si>
    <t>Valor de la Proporción Poblacional en Ho :</t>
  </si>
  <si>
    <t>Tipo de contrastación de la Hiótesis</t>
  </si>
  <si>
    <t>Proporción =&gt;</t>
  </si>
  <si>
    <t>Ho: Proporción</t>
  </si>
  <si>
    <t>H1: Proporción</t>
  </si>
  <si>
    <t>Tipo de contrastación  de la Hipótesis</t>
  </si>
  <si>
    <t>PRUEBA DE HIPOTESIS PARA LA DIFERENCIA DE PROPORCIONES POBLACIONALES</t>
  </si>
  <si>
    <t>Nivel de significancia</t>
  </si>
  <si>
    <t>Ingrese número de éxitos en la Muestra              N° 1              ( a1 )</t>
  </si>
  <si>
    <t>Ingrese el tamaño de la Muestra N° 1             ( n1 )</t>
  </si>
  <si>
    <t>Ingrese número de éxitos en la Muestra              N° 2               ( a2 )</t>
  </si>
  <si>
    <t>Ingrese el tamaño de la Muestra N° 2              ( n2 )</t>
  </si>
  <si>
    <t>Tipo de contrastación de la Hipótesis</t>
  </si>
  <si>
    <t>Ho: P1 - P2</t>
  </si>
  <si>
    <t>H1: P1 - P2</t>
  </si>
  <si>
    <t>PRUEBA DE HIPOTESIS PARA LA DIFERENCIA DE MEDIAS POBLACIONALES</t>
  </si>
  <si>
    <t>Ho: Media1 - Media2</t>
  </si>
  <si>
    <t>H1: Media1 - Media2</t>
  </si>
  <si>
    <t>CASO I : Tamaños de muestras grandes ( ni &gt;= 30 )</t>
  </si>
  <si>
    <t>CASO II : Tamaños de muestras pequeños ( ni &lt; 30 )</t>
  </si>
  <si>
    <t>y</t>
  </si>
  <si>
    <t>g. l.</t>
  </si>
  <si>
    <t>Estadístico de Prueba tp:</t>
  </si>
  <si>
    <t>Si         tp =</t>
  </si>
  <si>
    <t>Chi-square Contingency Table Test for Independence</t>
  </si>
  <si>
    <t xml:space="preserve">  </t>
  </si>
  <si>
    <t xml:space="preserve">Col 1  </t>
  </si>
  <si>
    <t xml:space="preserve">Col 2  </t>
  </si>
  <si>
    <t xml:space="preserve">Total  </t>
  </si>
  <si>
    <t>Row 1</t>
  </si>
  <si>
    <t>Row 2</t>
  </si>
  <si>
    <t>Row 3</t>
  </si>
  <si>
    <t>Total</t>
  </si>
  <si>
    <t>p-value</t>
  </si>
  <si>
    <t>df</t>
  </si>
  <si>
    <t>chi-square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</si>
</sst>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200" formatCode="0.0000"/>
    <numFmt numFmtId="206" formatCode="0.00000"/>
    <numFmt numFmtId="214" formatCode="0\ \ "/>
    <numFmt numFmtId="215" formatCode=".00"/>
  </numFmts>
  <fonts count="31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</font>
    <font>
      <b/>
      <sz val="11"/>
      <color indexed="10"/>
      <name val="Arial"/>
      <family val="2"/>
    </font>
    <font>
      <b/>
      <i/>
      <sz val="10"/>
      <color indexed="10"/>
      <name val="Arial"/>
      <family val="2"/>
    </font>
    <font>
      <i/>
      <sz val="10"/>
      <name val="Arial"/>
      <family val="2"/>
    </font>
    <font>
      <sz val="10"/>
      <color indexed="12"/>
      <name val="Arial"/>
    </font>
    <font>
      <b/>
      <sz val="10"/>
      <color indexed="12"/>
      <name val="Arial"/>
      <family val="2"/>
    </font>
    <font>
      <b/>
      <i/>
      <u/>
      <sz val="10"/>
      <color indexed="10"/>
      <name val="Arial"/>
      <family val="2"/>
    </font>
    <font>
      <b/>
      <u/>
      <sz val="10"/>
      <name val="Arial"/>
      <family val="2"/>
    </font>
    <font>
      <b/>
      <sz val="11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9"/>
      <name val="Arial"/>
      <family val="2"/>
    </font>
    <font>
      <sz val="10"/>
      <color indexed="9"/>
      <name val="Arial"/>
    </font>
    <font>
      <b/>
      <sz val="10"/>
      <color indexed="17"/>
      <name val="Arial"/>
      <family val="2"/>
    </font>
    <font>
      <b/>
      <i/>
      <u/>
      <sz val="12"/>
      <color indexed="10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sz val="10"/>
      <color indexed="41"/>
      <name val="Arial"/>
    </font>
    <font>
      <b/>
      <u/>
      <sz val="12"/>
      <color indexed="12"/>
      <name val="Arial"/>
      <family val="2"/>
    </font>
    <font>
      <b/>
      <i/>
      <sz val="10"/>
      <name val="Arial"/>
    </font>
    <font>
      <b/>
      <sz val="10"/>
      <color indexed="41"/>
      <name val="Arial"/>
      <family val="2"/>
    </font>
    <font>
      <sz val="10"/>
      <color indexed="47"/>
      <name val="Arial"/>
      <family val="2"/>
    </font>
    <font>
      <sz val="10"/>
      <color indexed="43"/>
      <name val="Arial"/>
      <family val="2"/>
    </font>
    <font>
      <i/>
      <sz val="10"/>
      <color indexed="43"/>
      <name val="Arial"/>
      <family val="2"/>
    </font>
    <font>
      <b/>
      <i/>
      <sz val="10"/>
      <name val="Arial"/>
      <family val="2"/>
    </font>
    <font>
      <sz val="10"/>
      <color indexed="43"/>
      <name val="Arial"/>
    </font>
    <font>
      <sz val="10"/>
      <color indexed="42"/>
      <name val="Arial"/>
    </font>
    <font>
      <sz val="10"/>
      <name val="Arial"/>
      <family val="2"/>
    </font>
    <font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6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200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3" borderId="0" xfId="0" applyFont="1" applyFill="1" applyBorder="1"/>
    <xf numFmtId="0" fontId="0" fillId="3" borderId="0" xfId="0" applyFill="1" applyBorder="1"/>
    <xf numFmtId="0" fontId="7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4" fillId="4" borderId="0" xfId="0" applyFont="1" applyFill="1" applyBorder="1" applyAlignment="1"/>
    <xf numFmtId="0" fontId="0" fillId="4" borderId="0" xfId="0" applyFill="1" applyAlignment="1">
      <alignment wrapText="1"/>
    </xf>
    <xf numFmtId="0" fontId="0" fillId="4" borderId="0" xfId="0" applyFill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9" fontId="8" fillId="4" borderId="0" xfId="2" applyNumberFormat="1" applyFont="1" applyFill="1" applyBorder="1" applyAlignment="1">
      <alignment horizontal="center"/>
    </xf>
    <xf numFmtId="200" fontId="2" fillId="4" borderId="0" xfId="0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8" fillId="3" borderId="0" xfId="0" applyFont="1" applyFill="1" applyAlignment="1">
      <alignment horizontal="right"/>
    </xf>
    <xf numFmtId="0" fontId="8" fillId="4" borderId="0" xfId="0" applyFont="1" applyFill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200" fontId="2" fillId="3" borderId="0" xfId="0" applyNumberFormat="1" applyFont="1" applyFill="1" applyBorder="1" applyAlignment="1">
      <alignment horizontal="center"/>
    </xf>
    <xf numFmtId="0" fontId="6" fillId="3" borderId="0" xfId="0" applyFont="1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 wrapText="1"/>
    </xf>
    <xf numFmtId="0" fontId="2" fillId="6" borderId="0" xfId="0" applyFont="1" applyFill="1" applyAlignment="1">
      <alignment vertical="center"/>
    </xf>
    <xf numFmtId="0" fontId="8" fillId="6" borderId="0" xfId="0" applyFont="1" applyFill="1" applyAlignment="1">
      <alignment horizontal="right"/>
    </xf>
    <xf numFmtId="0" fontId="8" fillId="6" borderId="0" xfId="0" applyFont="1" applyFill="1" applyBorder="1" applyAlignment="1">
      <alignment horizontal="center"/>
    </xf>
    <xf numFmtId="200" fontId="2" fillId="6" borderId="0" xfId="0" applyNumberFormat="1" applyFont="1" applyFill="1" applyAlignment="1">
      <alignment horizontal="center"/>
    </xf>
    <xf numFmtId="0" fontId="0" fillId="6" borderId="0" xfId="0" applyFill="1" applyBorder="1"/>
    <xf numFmtId="200" fontId="2" fillId="6" borderId="0" xfId="0" applyNumberFormat="1" applyFont="1" applyFill="1" applyBorder="1" applyAlignment="1">
      <alignment horizontal="center"/>
    </xf>
    <xf numFmtId="0" fontId="6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9" fontId="8" fillId="0" borderId="1" xfId="2" applyNumberFormat="1" applyFont="1" applyFill="1" applyBorder="1" applyAlignment="1">
      <alignment horizontal="center"/>
    </xf>
    <xf numFmtId="0" fontId="8" fillId="0" borderId="1" xfId="1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12" fillId="4" borderId="0" xfId="0" applyFont="1" applyFill="1" applyAlignment="1"/>
    <xf numFmtId="0" fontId="12" fillId="3" borderId="0" xfId="0" applyFont="1" applyFill="1"/>
    <xf numFmtId="0" fontId="5" fillId="3" borderId="0" xfId="0" applyFont="1" applyFill="1" applyBorder="1" applyAlignment="1">
      <alignment horizontal="center"/>
    </xf>
    <xf numFmtId="9" fontId="5" fillId="3" borderId="0" xfId="0" applyNumberFormat="1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0" fillId="2" borderId="0" xfId="0" applyFill="1" applyBorder="1"/>
    <xf numFmtId="0" fontId="2" fillId="2" borderId="1" xfId="0" applyFont="1" applyFill="1" applyBorder="1" applyAlignment="1">
      <alignment horizontal="center" wrapText="1"/>
    </xf>
    <xf numFmtId="0" fontId="14" fillId="3" borderId="0" xfId="0" applyFont="1" applyFill="1" applyBorder="1"/>
    <xf numFmtId="0" fontId="10" fillId="3" borderId="0" xfId="0" applyFont="1" applyFill="1" applyBorder="1" applyAlignment="1"/>
    <xf numFmtId="0" fontId="15" fillId="3" borderId="0" xfId="0" applyFont="1" applyFill="1" applyAlignment="1">
      <alignment horizontal="right"/>
    </xf>
    <xf numFmtId="0" fontId="16" fillId="3" borderId="0" xfId="0" applyFont="1" applyFill="1" applyAlignment="1">
      <alignment horizontal="center"/>
    </xf>
    <xf numFmtId="0" fontId="17" fillId="3" borderId="0" xfId="0" applyFont="1" applyFill="1" applyBorder="1" applyAlignment="1"/>
    <xf numFmtId="0" fontId="18" fillId="3" borderId="0" xfId="0" applyFont="1" applyFill="1" applyBorder="1"/>
    <xf numFmtId="200" fontId="2" fillId="3" borderId="0" xfId="0" applyNumberFormat="1" applyFont="1" applyFill="1" applyAlignment="1">
      <alignment horizontal="left"/>
    </xf>
    <xf numFmtId="1" fontId="2" fillId="3" borderId="0" xfId="0" applyNumberFormat="1" applyFont="1" applyFill="1" applyAlignment="1">
      <alignment horizontal="left"/>
    </xf>
    <xf numFmtId="0" fontId="12" fillId="3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 wrapText="1"/>
    </xf>
    <xf numFmtId="200" fontId="8" fillId="7" borderId="1" xfId="0" applyNumberFormat="1" applyFont="1" applyFill="1" applyBorder="1" applyAlignment="1">
      <alignment horizontal="center"/>
    </xf>
    <xf numFmtId="0" fontId="2" fillId="3" borderId="0" xfId="0" applyFont="1" applyFill="1" applyAlignment="1">
      <alignment horizontal="right"/>
    </xf>
    <xf numFmtId="200" fontId="2" fillId="3" borderId="0" xfId="0" applyNumberFormat="1" applyFont="1" applyFill="1" applyAlignment="1">
      <alignment horizontal="right"/>
    </xf>
    <xf numFmtId="0" fontId="15" fillId="3" borderId="0" xfId="0" applyFont="1" applyFill="1" applyAlignment="1">
      <alignment horizontal="center"/>
    </xf>
    <xf numFmtId="200" fontId="12" fillId="3" borderId="0" xfId="0" applyNumberFormat="1" applyFont="1" applyFill="1"/>
    <xf numFmtId="0" fontId="19" fillId="3" borderId="0" xfId="0" applyFont="1" applyFill="1"/>
    <xf numFmtId="0" fontId="20" fillId="3" borderId="0" xfId="0" applyFont="1" applyFill="1" applyAlignment="1"/>
    <xf numFmtId="0" fontId="20" fillId="7" borderId="2" xfId="0" applyFont="1" applyFill="1" applyBorder="1" applyAlignment="1"/>
    <xf numFmtId="0" fontId="20" fillId="7" borderId="3" xfId="0" applyFont="1" applyFill="1" applyBorder="1" applyAlignment="1"/>
    <xf numFmtId="200" fontId="12" fillId="3" borderId="0" xfId="0" applyNumberFormat="1" applyFont="1" applyFill="1" applyAlignment="1">
      <alignment horizontal="left"/>
    </xf>
    <xf numFmtId="0" fontId="20" fillId="7" borderId="3" xfId="0" applyFont="1" applyFill="1" applyBorder="1" applyAlignment="1">
      <alignment horizontal="center"/>
    </xf>
    <xf numFmtId="0" fontId="20" fillId="7" borderId="4" xfId="0" applyFont="1" applyFill="1" applyBorder="1" applyAlignment="1">
      <alignment horizontal="center"/>
    </xf>
    <xf numFmtId="0" fontId="21" fillId="7" borderId="0" xfId="0" applyFont="1" applyFill="1" applyBorder="1" applyAlignment="1"/>
    <xf numFmtId="200" fontId="21" fillId="7" borderId="5" xfId="0" applyNumberFormat="1" applyFont="1" applyFill="1" applyBorder="1" applyAlignment="1">
      <alignment horizontal="center"/>
    </xf>
    <xf numFmtId="9" fontId="21" fillId="7" borderId="6" xfId="0" applyNumberFormat="1" applyFont="1" applyFill="1" applyBorder="1" applyAlignment="1">
      <alignment horizontal="center"/>
    </xf>
    <xf numFmtId="200" fontId="21" fillId="7" borderId="7" xfId="2" applyNumberFormat="1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200" fontId="2" fillId="4" borderId="1" xfId="0" applyNumberFormat="1" applyFont="1" applyFill="1" applyBorder="1" applyAlignment="1">
      <alignment horizontal="center"/>
    </xf>
    <xf numFmtId="0" fontId="15" fillId="3" borderId="0" xfId="0" applyFont="1" applyFill="1" applyAlignment="1">
      <alignment horizontal="left"/>
    </xf>
    <xf numFmtId="0" fontId="22" fillId="3" borderId="0" xfId="0" applyFont="1" applyFill="1" applyAlignment="1">
      <alignment horizontal="center"/>
    </xf>
    <xf numFmtId="0" fontId="9" fillId="6" borderId="0" xfId="0" applyFont="1" applyFill="1" applyAlignment="1"/>
    <xf numFmtId="0" fontId="0" fillId="6" borderId="0" xfId="0" applyFill="1" applyAlignment="1"/>
    <xf numFmtId="0" fontId="23" fillId="6" borderId="0" xfId="0" applyFont="1" applyFill="1" applyBorder="1" applyAlignment="1">
      <alignment horizontal="center"/>
    </xf>
    <xf numFmtId="0" fontId="21" fillId="7" borderId="0" xfId="0" applyFont="1" applyFill="1" applyBorder="1" applyAlignment="1">
      <alignment horizontal="center"/>
    </xf>
    <xf numFmtId="0" fontId="2" fillId="7" borderId="0" xfId="0" applyFont="1" applyFill="1" applyBorder="1" applyAlignment="1">
      <alignment horizontal="center"/>
    </xf>
    <xf numFmtId="9" fontId="5" fillId="6" borderId="0" xfId="0" applyNumberFormat="1" applyFont="1" applyFill="1" applyBorder="1" applyAlignment="1"/>
    <xf numFmtId="0" fontId="17" fillId="6" borderId="0" xfId="0" applyFont="1" applyFill="1" applyBorder="1" applyAlignment="1"/>
    <xf numFmtId="0" fontId="18" fillId="6" borderId="0" xfId="0" applyFont="1" applyFill="1" applyBorder="1"/>
    <xf numFmtId="0" fontId="12" fillId="6" borderId="0" xfId="0" applyFont="1" applyFill="1"/>
    <xf numFmtId="200" fontId="12" fillId="6" borderId="0" xfId="0" applyNumberFormat="1" applyFont="1" applyFill="1"/>
    <xf numFmtId="0" fontId="12" fillId="6" borderId="0" xfId="0" applyFont="1" applyFill="1" applyAlignment="1">
      <alignment horizontal="center"/>
    </xf>
    <xf numFmtId="200" fontId="12" fillId="6" borderId="0" xfId="0" applyNumberFormat="1" applyFont="1" applyFill="1" applyAlignment="1">
      <alignment horizontal="left"/>
    </xf>
    <xf numFmtId="200" fontId="5" fillId="6" borderId="0" xfId="0" applyNumberFormat="1" applyFont="1" applyFill="1"/>
    <xf numFmtId="200" fontId="2" fillId="3" borderId="1" xfId="0" applyNumberFormat="1" applyFont="1" applyFill="1" applyBorder="1" applyAlignment="1">
      <alignment horizontal="center"/>
    </xf>
    <xf numFmtId="206" fontId="2" fillId="6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Alignment="1">
      <alignment vertical="center"/>
    </xf>
    <xf numFmtId="0" fontId="8" fillId="8" borderId="0" xfId="0" applyFont="1" applyFill="1" applyBorder="1" applyAlignment="1">
      <alignment horizontal="center"/>
    </xf>
    <xf numFmtId="0" fontId="0" fillId="8" borderId="0" xfId="0" applyFill="1" applyBorder="1"/>
    <xf numFmtId="0" fontId="12" fillId="8" borderId="0" xfId="0" applyFont="1" applyFill="1" applyBorder="1"/>
    <xf numFmtId="200" fontId="2" fillId="8" borderId="0" xfId="0" applyNumberFormat="1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6" fillId="8" borderId="0" xfId="0" applyFont="1" applyFill="1" applyBorder="1"/>
    <xf numFmtId="0" fontId="7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24" fillId="8" borderId="0" xfId="0" applyFont="1" applyFill="1" applyBorder="1" applyAlignment="1">
      <alignment horizontal="left"/>
    </xf>
    <xf numFmtId="0" fontId="24" fillId="8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/>
    <xf numFmtId="0" fontId="12" fillId="8" borderId="0" xfId="0" applyFont="1" applyFill="1"/>
    <xf numFmtId="200" fontId="26" fillId="8" borderId="0" xfId="0" applyNumberFormat="1" applyFont="1" applyFill="1" applyBorder="1" applyAlignment="1">
      <alignment horizontal="center"/>
    </xf>
    <xf numFmtId="200" fontId="2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right"/>
    </xf>
    <xf numFmtId="9" fontId="5" fillId="8" borderId="0" xfId="0" applyNumberFormat="1" applyFont="1" applyFill="1" applyBorder="1" applyAlignment="1"/>
    <xf numFmtId="0" fontId="12" fillId="8" borderId="0" xfId="0" applyFont="1" applyFill="1" applyAlignment="1">
      <alignment horizontal="center"/>
    </xf>
    <xf numFmtId="0" fontId="18" fillId="8" borderId="0" xfId="0" applyFont="1" applyFill="1" applyBorder="1"/>
    <xf numFmtId="200" fontId="2" fillId="8" borderId="1" xfId="0" applyNumberFormat="1" applyFont="1" applyFill="1" applyBorder="1" applyAlignment="1">
      <alignment horizontal="center"/>
    </xf>
    <xf numFmtId="200" fontId="12" fillId="8" borderId="0" xfId="0" applyNumberFormat="1" applyFont="1" applyFill="1"/>
    <xf numFmtId="200" fontId="12" fillId="8" borderId="0" xfId="0" applyNumberFormat="1" applyFont="1" applyFill="1" applyAlignment="1">
      <alignment horizontal="left"/>
    </xf>
    <xf numFmtId="0" fontId="17" fillId="8" borderId="0" xfId="0" applyFont="1" applyFill="1" applyBorder="1" applyAlignment="1"/>
    <xf numFmtId="200" fontId="5" fillId="8" borderId="0" xfId="0" applyNumberFormat="1" applyFont="1" applyFill="1"/>
    <xf numFmtId="0" fontId="27" fillId="8" borderId="0" xfId="0" applyFont="1" applyFill="1"/>
    <xf numFmtId="0" fontId="28" fillId="4" borderId="0" xfId="0" applyFont="1" applyFill="1"/>
    <xf numFmtId="0" fontId="6" fillId="4" borderId="0" xfId="0" applyFont="1" applyFill="1" applyBorder="1"/>
    <xf numFmtId="0" fontId="17" fillId="4" borderId="0" xfId="0" applyFont="1" applyFill="1" applyBorder="1" applyAlignment="1"/>
    <xf numFmtId="0" fontId="18" fillId="4" borderId="0" xfId="0" applyFont="1" applyFill="1" applyBorder="1"/>
    <xf numFmtId="200" fontId="2" fillId="4" borderId="0" xfId="0" applyNumberFormat="1" applyFont="1" applyFill="1" applyBorder="1" applyAlignment="1">
      <alignment horizontal="center"/>
    </xf>
    <xf numFmtId="0" fontId="12" fillId="4" borderId="0" xfId="0" applyFont="1" applyFill="1"/>
    <xf numFmtId="200" fontId="12" fillId="4" borderId="0" xfId="0" applyNumberFormat="1" applyFont="1" applyFill="1"/>
    <xf numFmtId="0" fontId="12" fillId="4" borderId="0" xfId="0" applyFont="1" applyFill="1" applyAlignment="1">
      <alignment horizontal="center"/>
    </xf>
    <xf numFmtId="200" fontId="12" fillId="4" borderId="0" xfId="0" applyNumberFormat="1" applyFont="1" applyFill="1" applyAlignment="1">
      <alignment horizontal="left"/>
    </xf>
    <xf numFmtId="200" fontId="5" fillId="4" borderId="0" xfId="0" applyNumberFormat="1" applyFont="1" applyFill="1"/>
    <xf numFmtId="0" fontId="8" fillId="4" borderId="0" xfId="0" applyFont="1" applyFill="1"/>
    <xf numFmtId="0" fontId="8" fillId="4" borderId="0" xfId="0" applyFont="1" applyFill="1" applyAlignment="1">
      <alignment horizontal="center"/>
    </xf>
    <xf numFmtId="1" fontId="8" fillId="4" borderId="0" xfId="0" applyNumberFormat="1" applyFont="1" applyFill="1" applyAlignment="1">
      <alignment horizontal="center"/>
    </xf>
    <xf numFmtId="0" fontId="29" fillId="0" borderId="0" xfId="0" applyFont="1"/>
    <xf numFmtId="0" fontId="30" fillId="0" borderId="0" xfId="0" applyFont="1"/>
    <xf numFmtId="0" fontId="29" fillId="0" borderId="0" xfId="0" applyNumberFormat="1" applyFont="1"/>
    <xf numFmtId="0" fontId="29" fillId="0" borderId="0" xfId="0" applyNumberFormat="1" applyFont="1" applyAlignment="1">
      <alignment horizontal="centerContinuous"/>
    </xf>
    <xf numFmtId="0" fontId="29" fillId="0" borderId="0" xfId="0" applyFont="1" applyAlignment="1">
      <alignment horizontal="centerContinuous"/>
    </xf>
    <xf numFmtId="0" fontId="29" fillId="0" borderId="10" xfId="0" applyNumberFormat="1" applyFont="1" applyBorder="1" applyAlignment="1">
      <alignment horizontal="right"/>
    </xf>
    <xf numFmtId="0" fontId="29" fillId="0" borderId="11" xfId="0" applyNumberFormat="1" applyFont="1" applyBorder="1"/>
    <xf numFmtId="0" fontId="29" fillId="0" borderId="11" xfId="0" applyFont="1" applyBorder="1"/>
    <xf numFmtId="214" fontId="29" fillId="0" borderId="12" xfId="0" applyNumberFormat="1" applyFont="1" applyBorder="1"/>
    <xf numFmtId="214" fontId="2" fillId="0" borderId="13" xfId="0" applyNumberFormat="1" applyFont="1" applyBorder="1"/>
    <xf numFmtId="214" fontId="29" fillId="0" borderId="11" xfId="0" applyNumberFormat="1" applyFont="1" applyBorder="1"/>
    <xf numFmtId="214" fontId="29" fillId="0" borderId="10" xfId="0" applyNumberFormat="1" applyFont="1" applyBorder="1"/>
    <xf numFmtId="214" fontId="2" fillId="0" borderId="14" xfId="0" applyNumberFormat="1" applyFont="1" applyBorder="1"/>
    <xf numFmtId="214" fontId="2" fillId="0" borderId="15" xfId="0" applyNumberFormat="1" applyFont="1" applyBorder="1"/>
    <xf numFmtId="214" fontId="2" fillId="0" borderId="16" xfId="0" applyNumberFormat="1" applyFont="1" applyBorder="1"/>
    <xf numFmtId="214" fontId="2" fillId="0" borderId="17" xfId="0" applyNumberFormat="1" applyFont="1" applyBorder="1"/>
    <xf numFmtId="214" fontId="2" fillId="0" borderId="18" xfId="0" applyNumberFormat="1" applyFont="1" applyBorder="1"/>
    <xf numFmtId="11" fontId="29" fillId="2" borderId="0" xfId="0" applyNumberFormat="1" applyFont="1" applyFill="1"/>
    <xf numFmtId="215" fontId="29" fillId="0" borderId="0" xfId="0" applyNumberFormat="1" applyFont="1"/>
    <xf numFmtId="0" fontId="12" fillId="11" borderId="0" xfId="0" applyFont="1" applyFill="1"/>
    <xf numFmtId="200" fontId="12" fillId="11" borderId="0" xfId="0" applyNumberFormat="1" applyFont="1" applyFill="1"/>
    <xf numFmtId="0" fontId="12" fillId="11" borderId="0" xfId="0" applyFont="1" applyFill="1" applyAlignment="1">
      <alignment horizontal="center"/>
    </xf>
    <xf numFmtId="200" fontId="12" fillId="11" borderId="0" xfId="0" applyNumberFormat="1" applyFont="1" applyFill="1" applyAlignment="1">
      <alignment horizontal="left"/>
    </xf>
    <xf numFmtId="0" fontId="0" fillId="0" borderId="1" xfId="0" applyBorder="1" applyAlignment="1">
      <alignment horizontal="center"/>
    </xf>
    <xf numFmtId="0" fontId="17" fillId="11" borderId="0" xfId="0" applyFont="1" applyFill="1" applyBorder="1" applyAlignment="1"/>
    <xf numFmtId="0" fontId="0" fillId="11" borderId="0" xfId="0" applyFill="1"/>
    <xf numFmtId="0" fontId="18" fillId="11" borderId="0" xfId="0" applyFont="1" applyFill="1" applyBorder="1"/>
    <xf numFmtId="0" fontId="6" fillId="11" borderId="0" xfId="0" applyFont="1" applyFill="1" applyBorder="1"/>
    <xf numFmtId="200" fontId="2" fillId="11" borderId="1" xfId="0" applyNumberFormat="1" applyFont="1" applyFill="1" applyBorder="1" applyAlignment="1">
      <alignment horizontal="center"/>
    </xf>
    <xf numFmtId="200" fontId="2" fillId="11" borderId="0" xfId="0" applyNumberFormat="1" applyFont="1" applyFill="1" applyBorder="1" applyAlignment="1">
      <alignment horizontal="center"/>
    </xf>
    <xf numFmtId="200" fontId="5" fillId="11" borderId="0" xfId="0" applyNumberFormat="1" applyFont="1" applyFill="1"/>
    <xf numFmtId="0" fontId="13" fillId="9" borderId="19" xfId="0" applyFont="1" applyFill="1" applyBorder="1" applyAlignment="1">
      <alignment horizontal="center" vertical="center"/>
    </xf>
    <xf numFmtId="0" fontId="13" fillId="9" borderId="20" xfId="0" applyFont="1" applyFill="1" applyBorder="1" applyAlignment="1">
      <alignment horizontal="center" vertical="center"/>
    </xf>
    <xf numFmtId="0" fontId="13" fillId="9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2" fillId="4" borderId="14" xfId="0" applyFont="1" applyFill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0" fillId="7" borderId="3" xfId="0" applyFont="1" applyFill="1" applyBorder="1" applyAlignment="1">
      <alignment horizontal="center"/>
    </xf>
    <xf numFmtId="0" fontId="20" fillId="7" borderId="4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200" fontId="2" fillId="4" borderId="0" xfId="0" applyNumberFormat="1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2" fillId="8" borderId="14" xfId="0" applyFont="1" applyFill="1" applyBorder="1" applyAlignment="1">
      <alignment horizontal="center" vertical="center"/>
    </xf>
    <xf numFmtId="0" fontId="2" fillId="8" borderId="22" xfId="0" applyFont="1" applyFill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/>
    </xf>
    <xf numFmtId="0" fontId="11" fillId="5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22" xfId="0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/>
    </xf>
    <xf numFmtId="0" fontId="13" fillId="10" borderId="19" xfId="0" applyFont="1" applyFill="1" applyBorder="1" applyAlignment="1">
      <alignment horizontal="center" vertical="center"/>
    </xf>
    <xf numFmtId="0" fontId="13" fillId="10" borderId="20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16" fillId="8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47625</xdr:rowOff>
        </xdr:from>
        <xdr:to>
          <xdr:col>8</xdr:col>
          <xdr:colOff>133350</xdr:colOff>
          <xdr:row>7</xdr:row>
          <xdr:rowOff>19050</xdr:rowOff>
        </xdr:to>
        <xdr:sp macro="" textlink="">
          <xdr:nvSpPr>
            <xdr:cNvPr id="2049" name="Label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FCFDF11-63AA-4A27-A155-511CFBA73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7</xdr:row>
          <xdr:rowOff>95250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0" name="CmdMedia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28F7AAC-8177-482A-A83C-F9C6A599A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11</xdr:row>
          <xdr:rowOff>76200</xdr:rowOff>
        </xdr:from>
        <xdr:to>
          <xdr:col>5</xdr:col>
          <xdr:colOff>9525</xdr:colOff>
          <xdr:row>15</xdr:row>
          <xdr:rowOff>28575</xdr:rowOff>
        </xdr:to>
        <xdr:sp macro="" textlink="">
          <xdr:nvSpPr>
            <xdr:cNvPr id="2051" name="CmdProp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E6A5B78-59FA-4DB3-A46D-5A8FF7315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19</xdr:row>
          <xdr:rowOff>152400</xdr:rowOff>
        </xdr:from>
        <xdr:to>
          <xdr:col>4</xdr:col>
          <xdr:colOff>742950</xdr:colOff>
          <xdr:row>24</xdr:row>
          <xdr:rowOff>9525</xdr:rowOff>
        </xdr:to>
        <xdr:sp macro="" textlink="">
          <xdr:nvSpPr>
            <xdr:cNvPr id="2052" name="CmdDifMedia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1C3D7112-2E03-4F8A-AC4F-D33FC8344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15</xdr:row>
          <xdr:rowOff>114300</xdr:rowOff>
        </xdr:from>
        <xdr:to>
          <xdr:col>4</xdr:col>
          <xdr:colOff>752475</xdr:colOff>
          <xdr:row>19</xdr:row>
          <xdr:rowOff>95250</xdr:rowOff>
        </xdr:to>
        <xdr:sp macro="" textlink="">
          <xdr:nvSpPr>
            <xdr:cNvPr id="2053" name="CmdDifPro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977E8A8F-6FB3-49D9-A1AD-EBE53117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180975</xdr:rowOff>
        </xdr:from>
        <xdr:to>
          <xdr:col>3</xdr:col>
          <xdr:colOff>857250</xdr:colOff>
          <xdr:row>23</xdr:row>
          <xdr:rowOff>19050</xdr:rowOff>
        </xdr:to>
        <xdr:sp macro="" textlink="">
          <xdr:nvSpPr>
            <xdr:cNvPr id="3073" name="CmdVolve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F8871979-25AB-4968-BF0E-8C8878942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16</xdr:row>
          <xdr:rowOff>142875</xdr:rowOff>
        </xdr:from>
        <xdr:to>
          <xdr:col>5</xdr:col>
          <xdr:colOff>619125</xdr:colOff>
          <xdr:row>20</xdr:row>
          <xdr:rowOff>19050</xdr:rowOff>
        </xdr:to>
        <xdr:sp macro="" textlink="">
          <xdr:nvSpPr>
            <xdr:cNvPr id="3074" name="CmdCalculo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56E6230-6125-43ED-95E9-FE308E5BF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20</xdr:row>
          <xdr:rowOff>152400</xdr:rowOff>
        </xdr:from>
        <xdr:to>
          <xdr:col>5</xdr:col>
          <xdr:colOff>781050</xdr:colOff>
          <xdr:row>23</xdr:row>
          <xdr:rowOff>38100</xdr:rowOff>
        </xdr:to>
        <xdr:sp macro="" textlink="">
          <xdr:nvSpPr>
            <xdr:cNvPr id="3075" name="CmdLimpiar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90158F0E-5416-430E-99B1-D50366F58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619125</xdr:colOff>
          <xdr:row>3</xdr:row>
          <xdr:rowOff>304800</xdr:rowOff>
        </xdr:from>
        <xdr:to>
          <xdr:col>13</xdr:col>
          <xdr:colOff>695325</xdr:colOff>
          <xdr:row>4</xdr:row>
          <xdr:rowOff>66675</xdr:rowOff>
        </xdr:to>
        <xdr:sp macro="" textlink="">
          <xdr:nvSpPr>
            <xdr:cNvPr id="5121" name="CmdLimpiarDifMedia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AAB5C56-2B10-47DA-A733-F864707A2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5</xdr:row>
          <xdr:rowOff>47625</xdr:rowOff>
        </xdr:from>
        <xdr:to>
          <xdr:col>13</xdr:col>
          <xdr:colOff>723900</xdr:colOff>
          <xdr:row>7</xdr:row>
          <xdr:rowOff>47625</xdr:rowOff>
        </xdr:to>
        <xdr:sp macro="" textlink="">
          <xdr:nvSpPr>
            <xdr:cNvPr id="5122" name="CmdVolverDifMedia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2F8B3F6-1B8D-4C86-888B-0AAC75ED1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8</xdr:row>
          <xdr:rowOff>9525</xdr:rowOff>
        </xdr:from>
        <xdr:to>
          <xdr:col>14</xdr:col>
          <xdr:colOff>19050</xdr:colOff>
          <xdr:row>11</xdr:row>
          <xdr:rowOff>47625</xdr:rowOff>
        </xdr:to>
        <xdr:sp macro="" textlink="">
          <xdr:nvSpPr>
            <xdr:cNvPr id="5123" name="CmdResulDifMedias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D444471E-F590-4FF8-A971-44CCC68CA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8</xdr:row>
          <xdr:rowOff>47625</xdr:rowOff>
        </xdr:from>
        <xdr:to>
          <xdr:col>13</xdr:col>
          <xdr:colOff>609600</xdr:colOff>
          <xdr:row>10</xdr:row>
          <xdr:rowOff>133350</xdr:rowOff>
        </xdr:to>
        <xdr:sp macro="" textlink="">
          <xdr:nvSpPr>
            <xdr:cNvPr id="6147" name="CmdLimpiarProp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82D0A4D8-20C2-492A-8405-6D93A3C78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12</xdr:row>
          <xdr:rowOff>38100</xdr:rowOff>
        </xdr:from>
        <xdr:to>
          <xdr:col>11</xdr:col>
          <xdr:colOff>190500</xdr:colOff>
          <xdr:row>14</xdr:row>
          <xdr:rowOff>76200</xdr:rowOff>
        </xdr:to>
        <xdr:sp macro="" textlink="">
          <xdr:nvSpPr>
            <xdr:cNvPr id="6148" name="CmdVolverP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C00B5922-87A4-4BFB-989E-4F6EFCE5A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11</xdr:row>
          <xdr:rowOff>57150</xdr:rowOff>
        </xdr:from>
        <xdr:to>
          <xdr:col>13</xdr:col>
          <xdr:colOff>476250</xdr:colOff>
          <xdr:row>14</xdr:row>
          <xdr:rowOff>95250</xdr:rowOff>
        </xdr:to>
        <xdr:sp macro="" textlink="">
          <xdr:nvSpPr>
            <xdr:cNvPr id="6149" name="CmdResulProp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42927161-46A8-40D3-91F1-8285F32A9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6</xdr:row>
          <xdr:rowOff>57150</xdr:rowOff>
        </xdr:from>
        <xdr:to>
          <xdr:col>15</xdr:col>
          <xdr:colOff>19050</xdr:colOff>
          <xdr:row>8</xdr:row>
          <xdr:rowOff>114300</xdr:rowOff>
        </xdr:to>
        <xdr:sp macro="" textlink="">
          <xdr:nvSpPr>
            <xdr:cNvPr id="4099" name="CmdLimpiarDifPro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5285F883-2AAB-45E0-BB21-353A67BBA8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3</xdr:row>
          <xdr:rowOff>809625</xdr:rowOff>
        </xdr:from>
        <xdr:to>
          <xdr:col>15</xdr:col>
          <xdr:colOff>28575</xdr:colOff>
          <xdr:row>4</xdr:row>
          <xdr:rowOff>85725</xdr:rowOff>
        </xdr:to>
        <xdr:sp macro="" textlink="">
          <xdr:nvSpPr>
            <xdr:cNvPr id="4100" name="CmdVolverDifPro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579D493-BB07-4973-8FD3-A3A9F81DF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47625</xdr:rowOff>
        </xdr:from>
        <xdr:to>
          <xdr:col>15</xdr:col>
          <xdr:colOff>438150</xdr:colOff>
          <xdr:row>3</xdr:row>
          <xdr:rowOff>657225</xdr:rowOff>
        </xdr:to>
        <xdr:sp macro="" textlink="">
          <xdr:nvSpPr>
            <xdr:cNvPr id="4101" name="CmdResulDifPro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833C7DA-81B0-491F-AA27-78F1D2B0F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sqref="A1:A3"/>
    </sheetView>
  </sheetViews>
  <sheetFormatPr defaultRowHeight="12.75" x14ac:dyDescent="0.2"/>
  <cols>
    <col min="1" max="256" width="11.42578125" customWidth="1"/>
  </cols>
  <sheetData>
    <row r="1" spans="1:1" x14ac:dyDescent="0.2">
      <c r="A1" t="s">
        <v>29</v>
      </c>
    </row>
    <row r="2" spans="1:1" x14ac:dyDescent="0.2">
      <c r="A2" t="s">
        <v>30</v>
      </c>
    </row>
    <row r="3" spans="1:1" x14ac:dyDescent="0.2">
      <c r="A3" t="s">
        <v>31</v>
      </c>
    </row>
  </sheetData>
  <phoneticPr fontId="3" type="noConversion"/>
  <pageMargins left="0.75" right="0.75" top="1" bottom="1" header="0" footer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9:G20"/>
  <sheetViews>
    <sheetView topLeftCell="A4" workbookViewId="0">
      <selection activeCell="B6" sqref="B6"/>
    </sheetView>
  </sheetViews>
  <sheetFormatPr defaultColWidth="11.42578125" defaultRowHeight="12.75" x14ac:dyDescent="0.2"/>
  <cols>
    <col min="1" max="16384" width="11.42578125" style="1"/>
  </cols>
  <sheetData>
    <row r="9" spans="2:7" x14ac:dyDescent="0.2">
      <c r="B9" s="50"/>
      <c r="C9" s="50"/>
      <c r="D9" s="50"/>
      <c r="E9" s="50"/>
      <c r="F9" s="50"/>
      <c r="G9" s="50"/>
    </row>
    <row r="10" spans="2:7" x14ac:dyDescent="0.2">
      <c r="B10" s="50"/>
      <c r="C10" s="50"/>
      <c r="D10" s="50"/>
      <c r="E10" s="50"/>
      <c r="F10" s="50"/>
      <c r="G10" s="50"/>
    </row>
    <row r="11" spans="2:7" x14ac:dyDescent="0.2">
      <c r="B11" s="50"/>
      <c r="C11" s="50"/>
      <c r="D11" s="50"/>
      <c r="E11" s="50"/>
      <c r="F11" s="50"/>
      <c r="G11" s="50"/>
    </row>
    <row r="12" spans="2:7" x14ac:dyDescent="0.2">
      <c r="B12" s="50"/>
      <c r="C12" s="50"/>
      <c r="D12" s="50"/>
      <c r="E12" s="50"/>
      <c r="F12" s="50"/>
      <c r="G12" s="50"/>
    </row>
    <row r="13" spans="2:7" x14ac:dyDescent="0.2">
      <c r="B13" s="50"/>
      <c r="C13" s="50"/>
      <c r="D13" s="50"/>
      <c r="E13" s="50"/>
      <c r="F13" s="50"/>
      <c r="G13" s="50"/>
    </row>
    <row r="14" spans="2:7" x14ac:dyDescent="0.2">
      <c r="B14" s="50"/>
      <c r="C14" s="50"/>
      <c r="D14" s="50"/>
      <c r="E14" s="50"/>
      <c r="F14" s="50"/>
      <c r="G14" s="50"/>
    </row>
    <row r="15" spans="2:7" x14ac:dyDescent="0.2">
      <c r="B15" s="50"/>
      <c r="C15" s="50"/>
      <c r="D15" s="50"/>
      <c r="E15" s="50"/>
      <c r="F15" s="50"/>
      <c r="G15" s="50"/>
    </row>
    <row r="16" spans="2:7" x14ac:dyDescent="0.2">
      <c r="B16" s="50"/>
      <c r="C16" s="50"/>
      <c r="D16" s="50"/>
      <c r="E16" s="50"/>
      <c r="F16" s="50"/>
      <c r="G16" s="50"/>
    </row>
    <row r="17" spans="2:7" x14ac:dyDescent="0.2">
      <c r="B17" s="50"/>
      <c r="C17" s="50"/>
      <c r="D17" s="50"/>
      <c r="E17" s="50"/>
      <c r="F17" s="50"/>
      <c r="G17" s="50"/>
    </row>
    <row r="18" spans="2:7" x14ac:dyDescent="0.2">
      <c r="B18" s="50"/>
      <c r="C18" s="50"/>
      <c r="D18" s="50"/>
      <c r="E18" s="50"/>
      <c r="F18" s="50"/>
      <c r="G18" s="50"/>
    </row>
    <row r="19" spans="2:7" x14ac:dyDescent="0.2">
      <c r="B19" s="50"/>
      <c r="C19" s="50"/>
      <c r="D19" s="50"/>
      <c r="E19" s="50"/>
      <c r="F19" s="50"/>
      <c r="G19" s="50"/>
    </row>
    <row r="20" spans="2:7" x14ac:dyDescent="0.2">
      <c r="B20" s="50"/>
      <c r="C20" s="50"/>
      <c r="D20" s="50"/>
      <c r="E20" s="50"/>
      <c r="F20" s="50"/>
      <c r="G20" s="50"/>
    </row>
  </sheetData>
  <phoneticPr fontId="0" type="noConversion"/>
  <pageMargins left="0.75" right="0.75" top="1" bottom="1" header="0" footer="0"/>
  <headerFooter alignWithMargins="0"/>
  <drawing r:id="rId1"/>
  <legacyDrawing r:id="rId2"/>
  <controls>
    <mc:AlternateContent xmlns:mc="http://schemas.openxmlformats.org/markup-compatibility/2006">
      <mc:Choice Requires="x14">
        <control shapeId="2053" r:id="rId3" name="CmdDifPro">
          <controlPr defaultSize="0" autoLine="0" r:id="rId4">
            <anchor moveWithCells="1">
              <from>
                <xdr:col>2</xdr:col>
                <xdr:colOff>390525</xdr:colOff>
                <xdr:row>15</xdr:row>
                <xdr:rowOff>114300</xdr:rowOff>
              </from>
              <to>
                <xdr:col>4</xdr:col>
                <xdr:colOff>752475</xdr:colOff>
                <xdr:row>19</xdr:row>
                <xdr:rowOff>95250</xdr:rowOff>
              </to>
            </anchor>
          </controlPr>
        </control>
      </mc:Choice>
      <mc:Fallback>
        <control shapeId="2053" r:id="rId3" name="CmdDifPro"/>
      </mc:Fallback>
    </mc:AlternateContent>
    <mc:AlternateContent xmlns:mc="http://schemas.openxmlformats.org/markup-compatibility/2006">
      <mc:Choice Requires="x14">
        <control shapeId="2052" r:id="rId5" name="CmdDifMedias">
          <controlPr defaultSize="0" autoLine="0" r:id="rId6">
            <anchor moveWithCells="1">
              <from>
                <xdr:col>2</xdr:col>
                <xdr:colOff>409575</xdr:colOff>
                <xdr:row>19</xdr:row>
                <xdr:rowOff>152400</xdr:rowOff>
              </from>
              <to>
                <xdr:col>4</xdr:col>
                <xdr:colOff>742950</xdr:colOff>
                <xdr:row>24</xdr:row>
                <xdr:rowOff>9525</xdr:rowOff>
              </to>
            </anchor>
          </controlPr>
        </control>
      </mc:Choice>
      <mc:Fallback>
        <control shapeId="2052" r:id="rId5" name="CmdDifMedias"/>
      </mc:Fallback>
    </mc:AlternateContent>
    <mc:AlternateContent xmlns:mc="http://schemas.openxmlformats.org/markup-compatibility/2006">
      <mc:Choice Requires="x14">
        <control shapeId="2051" r:id="rId7" name="CmdProp">
          <controlPr defaultSize="0" autoLine="0" r:id="rId8">
            <anchor moveWithCells="1">
              <from>
                <xdr:col>2</xdr:col>
                <xdr:colOff>371475</xdr:colOff>
                <xdr:row>11</xdr:row>
                <xdr:rowOff>76200</xdr:rowOff>
              </from>
              <to>
                <xdr:col>5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2051" r:id="rId7" name="CmdProp"/>
      </mc:Fallback>
    </mc:AlternateContent>
    <mc:AlternateContent xmlns:mc="http://schemas.openxmlformats.org/markup-compatibility/2006">
      <mc:Choice Requires="x14">
        <control shapeId="2050" r:id="rId9" name="CmdMedia">
          <controlPr defaultSize="0" autoLine="0" autoPict="0" r:id="rId10">
            <anchor moveWithCells="1">
              <from>
                <xdr:col>2</xdr:col>
                <xdr:colOff>390525</xdr:colOff>
                <xdr:row>7</xdr:row>
                <xdr:rowOff>95250</xdr:rowOff>
              </from>
              <to>
                <xdr:col>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2050" r:id="rId9" name="CmdMedia"/>
      </mc:Fallback>
    </mc:AlternateContent>
    <mc:AlternateContent xmlns:mc="http://schemas.openxmlformats.org/markup-compatibility/2006">
      <mc:Choice Requires="x14">
        <control shapeId="2049" r:id="rId11" name="Label1">
          <controlPr defaultSize="0" autoLine="0" r:id="rId12">
            <anchor moveWithCells="1">
              <from>
                <xdr:col>0</xdr:col>
                <xdr:colOff>76200</xdr:colOff>
                <xdr:row>4</xdr:row>
                <xdr:rowOff>47625</xdr:rowOff>
              </from>
              <to>
                <xdr:col>8</xdr:col>
                <xdr:colOff>133350</xdr:colOff>
                <xdr:row>7</xdr:row>
                <xdr:rowOff>19050</xdr:rowOff>
              </to>
            </anchor>
          </controlPr>
        </control>
      </mc:Choice>
      <mc:Fallback>
        <control shapeId="2049" r:id="rId11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IV522"/>
  <sheetViews>
    <sheetView tabSelected="1" zoomScale="85" zoomScaleNormal="85" workbookViewId="0">
      <selection activeCell="M19" sqref="M19"/>
    </sheetView>
  </sheetViews>
  <sheetFormatPr defaultColWidth="11.42578125" defaultRowHeight="12.75" x14ac:dyDescent="0.2"/>
  <cols>
    <col min="1" max="1" width="0.5703125" style="3" customWidth="1"/>
    <col min="2" max="2" width="11.42578125" style="2"/>
    <col min="3" max="3" width="1" style="3" customWidth="1"/>
    <col min="4" max="4" width="14.5703125" style="3" customWidth="1"/>
    <col min="5" max="5" width="2.85546875" style="3" customWidth="1"/>
    <col min="6" max="6" width="13.140625" style="3" customWidth="1"/>
    <col min="7" max="7" width="5.140625" style="3" customWidth="1"/>
    <col min="8" max="8" width="10.7109375" style="3" customWidth="1"/>
    <col min="9" max="9" width="8.140625" style="3" customWidth="1"/>
    <col min="10" max="10" width="6.5703125" style="3" customWidth="1"/>
    <col min="11" max="11" width="8.7109375" style="3" customWidth="1"/>
    <col min="12" max="12" width="12.85546875" style="3" customWidth="1"/>
    <col min="13" max="16384" width="11.42578125" style="3"/>
  </cols>
  <sheetData>
    <row r="1" spans="2:256" ht="6" customHeight="1" thickBot="1" x14ac:dyDescent="0.25">
      <c r="IV1"/>
    </row>
    <row r="2" spans="2:256" ht="22.5" customHeight="1" thickBot="1" x14ac:dyDescent="0.25">
      <c r="B2" s="171" t="s">
        <v>13</v>
      </c>
      <c r="C2" s="172"/>
      <c r="D2" s="172"/>
      <c r="E2" s="172"/>
      <c r="F2" s="172"/>
      <c r="G2" s="172"/>
      <c r="H2" s="172"/>
      <c r="I2" s="172"/>
      <c r="J2" s="173"/>
      <c r="IV2"/>
    </row>
    <row r="3" spans="2:256" ht="6.75" customHeight="1" x14ac:dyDescent="0.2">
      <c r="IV3"/>
    </row>
    <row r="4" spans="2:256" ht="25.5" customHeight="1" x14ac:dyDescent="0.2">
      <c r="B4" s="25" t="s">
        <v>0</v>
      </c>
      <c r="C4" s="4"/>
      <c r="D4" s="25" t="s">
        <v>14</v>
      </c>
      <c r="E4" s="5"/>
      <c r="F4" s="174" t="s">
        <v>15</v>
      </c>
      <c r="G4" s="61"/>
      <c r="H4" s="180" t="s">
        <v>1</v>
      </c>
      <c r="I4" s="180"/>
      <c r="J4" s="180"/>
      <c r="K4" s="180"/>
      <c r="L4" s="55"/>
    </row>
    <row r="5" spans="2:256" x14ac:dyDescent="0.2">
      <c r="B5" s="41"/>
      <c r="D5" s="42">
        <v>0.05</v>
      </c>
      <c r="F5" s="174"/>
      <c r="G5" s="61"/>
    </row>
    <row r="6" spans="2:256" x14ac:dyDescent="0.2">
      <c r="B6" s="41"/>
      <c r="F6" s="51" t="s">
        <v>23</v>
      </c>
      <c r="G6" s="61"/>
      <c r="K6" s="23" t="s">
        <v>17</v>
      </c>
      <c r="L6" s="64">
        <v>220</v>
      </c>
      <c r="M6" s="58"/>
    </row>
    <row r="7" spans="2:256" ht="13.5" customHeight="1" x14ac:dyDescent="0.2">
      <c r="B7" s="41"/>
      <c r="D7" s="181" t="s">
        <v>50</v>
      </c>
      <c r="F7" s="62">
        <v>225</v>
      </c>
      <c r="G7" s="52"/>
      <c r="H7" s="6"/>
      <c r="K7" s="54" t="s">
        <v>18</v>
      </c>
      <c r="L7" s="64">
        <v>15</v>
      </c>
      <c r="M7" s="58"/>
    </row>
    <row r="8" spans="2:256" x14ac:dyDescent="0.2">
      <c r="B8" s="41"/>
      <c r="D8" s="182"/>
      <c r="H8" s="6"/>
      <c r="K8" s="23" t="s">
        <v>19</v>
      </c>
      <c r="L8" s="63">
        <v>36</v>
      </c>
      <c r="M8" s="59"/>
    </row>
    <row r="9" spans="2:256" ht="12.75" customHeight="1" x14ac:dyDescent="0.2">
      <c r="B9" s="41"/>
      <c r="D9" s="183"/>
      <c r="H9" s="7"/>
      <c r="K9" s="54" t="s">
        <v>20</v>
      </c>
      <c r="L9" s="64">
        <f>L7/SQRT(L8)</f>
        <v>2.5</v>
      </c>
      <c r="M9" s="58"/>
    </row>
    <row r="10" spans="2:256" ht="15.75" customHeight="1" x14ac:dyDescent="0.2">
      <c r="B10" s="41"/>
      <c r="D10" s="44" t="s">
        <v>33</v>
      </c>
      <c r="H10" s="6"/>
      <c r="K10" s="23" t="s">
        <v>21</v>
      </c>
      <c r="L10" s="64">
        <f>IF(D10="Mayor que",NORMSINV(1-D5),NORMSINV(D5))</f>
        <v>-1.6448536269514726</v>
      </c>
      <c r="M10" s="58"/>
    </row>
    <row r="11" spans="2:256" x14ac:dyDescent="0.2">
      <c r="B11" s="41"/>
      <c r="H11" s="6"/>
      <c r="K11" s="54" t="s">
        <v>22</v>
      </c>
      <c r="L11" s="64">
        <f>IF(D10="Mayor que",TINV(D5*2,L8-1),TINV(D5*2,L8-1)*-1)</f>
        <v>-1.6895724577802647</v>
      </c>
      <c r="M11" s="58"/>
    </row>
    <row r="12" spans="2:256" x14ac:dyDescent="0.2">
      <c r="B12" s="41"/>
      <c r="D12" s="67" t="s">
        <v>32</v>
      </c>
      <c r="G12" s="54"/>
      <c r="H12" s="82">
        <f>L8-1</f>
        <v>35</v>
      </c>
      <c r="I12" s="54" t="s">
        <v>16</v>
      </c>
      <c r="J12" s="65">
        <f>$L$8-1</f>
        <v>35</v>
      </c>
      <c r="K12" s="81" t="s">
        <v>41</v>
      </c>
      <c r="L12" s="54"/>
    </row>
    <row r="13" spans="2:256" ht="13.5" thickBot="1" x14ac:dyDescent="0.25">
      <c r="B13" s="41"/>
      <c r="D13" s="67" t="s">
        <v>33</v>
      </c>
      <c r="E13" s="53"/>
      <c r="F13" s="53"/>
      <c r="G13" s="53"/>
      <c r="H13" s="53"/>
    </row>
    <row r="14" spans="2:256" ht="15.75" x14ac:dyDescent="0.25">
      <c r="B14" s="41"/>
      <c r="D14" s="175" t="s">
        <v>37</v>
      </c>
      <c r="E14" s="176"/>
      <c r="F14" s="177"/>
      <c r="G14" s="47"/>
      <c r="H14" s="69" t="s">
        <v>35</v>
      </c>
      <c r="I14" s="70"/>
      <c r="J14" s="70"/>
      <c r="K14" s="70"/>
      <c r="L14" s="70"/>
      <c r="M14" s="178" t="str">
        <f>D10</f>
        <v>Menor que</v>
      </c>
      <c r="N14" s="179"/>
      <c r="O14" s="68"/>
    </row>
    <row r="15" spans="2:256" x14ac:dyDescent="0.2">
      <c r="B15" s="41"/>
      <c r="D15" s="78" t="s">
        <v>38</v>
      </c>
      <c r="E15" s="74" t="s">
        <v>40</v>
      </c>
      <c r="F15" s="75">
        <f>F7</f>
        <v>225</v>
      </c>
      <c r="G15" s="47"/>
    </row>
    <row r="16" spans="2:256" ht="16.5" thickBot="1" x14ac:dyDescent="0.3">
      <c r="B16" s="41"/>
      <c r="D16" s="79" t="s">
        <v>39</v>
      </c>
      <c r="E16" s="76" t="str">
        <f>IF($D$10="Mayor que","&gt;","&lt;")</f>
        <v>&lt;</v>
      </c>
      <c r="F16" s="77">
        <f>F7</f>
        <v>225</v>
      </c>
      <c r="G16" s="48"/>
      <c r="H16" s="56" t="s">
        <v>43</v>
      </c>
    </row>
    <row r="17" spans="2:14" x14ac:dyDescent="0.2">
      <c r="B17" s="41"/>
      <c r="E17" s="8"/>
      <c r="F17" s="9"/>
      <c r="G17" s="9"/>
      <c r="H17" s="57" t="s">
        <v>24</v>
      </c>
      <c r="I17" s="28"/>
      <c r="K17" s="80">
        <f>(L6-F7)/L9</f>
        <v>-2</v>
      </c>
      <c r="L17" s="27"/>
    </row>
    <row r="18" spans="2:14" x14ac:dyDescent="0.2">
      <c r="B18" s="41"/>
      <c r="E18" s="49"/>
      <c r="F18" s="49"/>
      <c r="G18" s="49"/>
      <c r="H18" s="159" t="s">
        <v>36</v>
      </c>
      <c r="I18" s="160">
        <f>K17</f>
        <v>-2</v>
      </c>
      <c r="J18" s="161" t="str">
        <f>IF($D$10="Mayor que","&lt;","&gt;")</f>
        <v>&gt;</v>
      </c>
      <c r="K18" s="159" t="s">
        <v>27</v>
      </c>
      <c r="L18" s="162">
        <f>L10</f>
        <v>-1.6448536269514726</v>
      </c>
      <c r="M18" s="159" t="s">
        <v>25</v>
      </c>
      <c r="N18" s="159"/>
    </row>
    <row r="19" spans="2:14" x14ac:dyDescent="0.2">
      <c r="B19" s="41"/>
      <c r="E19" s="47"/>
      <c r="F19" s="47"/>
      <c r="G19" s="47"/>
      <c r="H19" s="46" t="s">
        <v>36</v>
      </c>
      <c r="I19" s="66">
        <f>K17</f>
        <v>-2</v>
      </c>
      <c r="J19" s="60" t="str">
        <f>IF($D$10="Mayor que","&gt;","&lt;")</f>
        <v>&lt;</v>
      </c>
      <c r="K19" s="46" t="s">
        <v>27</v>
      </c>
      <c r="L19" s="71">
        <f>L10</f>
        <v>-1.6448536269514726</v>
      </c>
      <c r="M19" s="46" t="s">
        <v>26</v>
      </c>
      <c r="N19" s="46"/>
    </row>
    <row r="20" spans="2:14" x14ac:dyDescent="0.2">
      <c r="B20" s="41"/>
      <c r="E20" s="47"/>
      <c r="F20" s="47"/>
      <c r="G20" s="47"/>
    </row>
    <row r="21" spans="2:14" ht="15.75" x14ac:dyDescent="0.25">
      <c r="B21" s="41"/>
      <c r="E21" s="48"/>
      <c r="F21" s="48"/>
      <c r="G21" s="48"/>
      <c r="H21" s="56" t="s">
        <v>44</v>
      </c>
    </row>
    <row r="22" spans="2:14" x14ac:dyDescent="0.2">
      <c r="B22" s="41"/>
      <c r="E22" s="9"/>
      <c r="F22" s="9"/>
      <c r="G22" s="9"/>
      <c r="H22" s="57" t="s">
        <v>67</v>
      </c>
      <c r="I22" s="28"/>
      <c r="K22" s="80">
        <f>K17</f>
        <v>-2</v>
      </c>
      <c r="L22" s="27"/>
    </row>
    <row r="23" spans="2:14" x14ac:dyDescent="0.2">
      <c r="B23" s="41"/>
      <c r="H23" s="46" t="s">
        <v>68</v>
      </c>
      <c r="I23" s="160">
        <f>K22</f>
        <v>-2</v>
      </c>
      <c r="J23" s="60" t="str">
        <f>IF($D$10="Mayor que","&lt;","&gt;")</f>
        <v>&gt;</v>
      </c>
      <c r="K23" s="46" t="s">
        <v>28</v>
      </c>
      <c r="L23" s="71">
        <f>L11</f>
        <v>-1.6895724577802647</v>
      </c>
      <c r="M23" s="46" t="s">
        <v>25</v>
      </c>
      <c r="N23" s="46"/>
    </row>
    <row r="24" spans="2:14" x14ac:dyDescent="0.2">
      <c r="B24" s="41"/>
      <c r="H24" s="46" t="s">
        <v>68</v>
      </c>
      <c r="I24" s="160">
        <f>K17</f>
        <v>-2</v>
      </c>
      <c r="J24" s="60" t="str">
        <f>IF($D$10="Mayor que","&gt;","&lt;")</f>
        <v>&lt;</v>
      </c>
      <c r="K24" s="46" t="s">
        <v>28</v>
      </c>
      <c r="L24" s="71">
        <f>L11</f>
        <v>-1.6895724577802647</v>
      </c>
      <c r="M24" s="46" t="s">
        <v>26</v>
      </c>
      <c r="N24" s="46"/>
    </row>
    <row r="25" spans="2:14" x14ac:dyDescent="0.2">
      <c r="B25" s="41"/>
    </row>
    <row r="26" spans="2:14" ht="15.75" x14ac:dyDescent="0.25">
      <c r="B26" s="41"/>
      <c r="H26" s="69" t="s">
        <v>35</v>
      </c>
      <c r="I26" s="70"/>
      <c r="J26" s="70"/>
      <c r="K26" s="70"/>
      <c r="L26" s="70"/>
      <c r="M26" s="178" t="s">
        <v>34</v>
      </c>
      <c r="N26" s="179"/>
    </row>
    <row r="27" spans="2:14" ht="15.75" x14ac:dyDescent="0.25">
      <c r="B27" s="41"/>
      <c r="H27" s="56" t="s">
        <v>43</v>
      </c>
    </row>
    <row r="28" spans="2:14" x14ac:dyDescent="0.2">
      <c r="B28" s="41"/>
      <c r="H28" s="57" t="s">
        <v>24</v>
      </c>
      <c r="I28" s="28"/>
      <c r="K28" s="80">
        <f>K17</f>
        <v>-2</v>
      </c>
      <c r="L28" s="27"/>
    </row>
    <row r="29" spans="2:14" x14ac:dyDescent="0.2">
      <c r="B29" s="41"/>
      <c r="H29" s="46" t="s">
        <v>36</v>
      </c>
      <c r="I29" s="160">
        <f>K28</f>
        <v>-2</v>
      </c>
      <c r="J29" s="60" t="str">
        <f>IF($D$10="Mayor que","&lt;","&gt;")</f>
        <v>&gt;</v>
      </c>
      <c r="K29" s="46" t="s">
        <v>27</v>
      </c>
      <c r="L29" s="71">
        <f>IF($D$10="Mayor que",NORMSINV(1-$D$5/2),NORMSINV($D$5/2))</f>
        <v>-1.9599639845400538</v>
      </c>
      <c r="M29" s="46" t="s">
        <v>25</v>
      </c>
      <c r="N29" s="46"/>
    </row>
    <row r="30" spans="2:14" x14ac:dyDescent="0.2">
      <c r="B30" s="41"/>
      <c r="H30" s="46" t="s">
        <v>36</v>
      </c>
      <c r="I30" s="170">
        <f>K17</f>
        <v>-2</v>
      </c>
      <c r="J30" s="60" t="str">
        <f>IF($D$10="Mayor que","&gt;","&lt;")</f>
        <v>&lt;</v>
      </c>
      <c r="K30" s="46" t="s">
        <v>27</v>
      </c>
      <c r="L30" s="71">
        <f>IF($D$10="Mayor que",NORMSINV(1-$D$5/2),NORMSINV($D$5/2))</f>
        <v>-1.9599639845400538</v>
      </c>
      <c r="M30" s="46" t="s">
        <v>26</v>
      </c>
      <c r="N30" s="46"/>
    </row>
    <row r="31" spans="2:14" x14ac:dyDescent="0.2">
      <c r="B31" s="41"/>
    </row>
    <row r="32" spans="2:14" ht="15.75" x14ac:dyDescent="0.25">
      <c r="B32" s="41"/>
      <c r="H32" s="56" t="s">
        <v>44</v>
      </c>
    </row>
    <row r="33" spans="2:14" x14ac:dyDescent="0.2">
      <c r="B33" s="41"/>
      <c r="H33" s="57" t="s">
        <v>67</v>
      </c>
      <c r="I33" s="28"/>
      <c r="K33" s="80">
        <f>K17</f>
        <v>-2</v>
      </c>
      <c r="L33" s="27"/>
    </row>
    <row r="34" spans="2:14" x14ac:dyDescent="0.2">
      <c r="B34" s="41"/>
      <c r="H34" s="46" t="s">
        <v>68</v>
      </c>
      <c r="I34" s="160">
        <f>K33</f>
        <v>-2</v>
      </c>
      <c r="J34" s="60" t="str">
        <f>IF($D$10="Mayor que","&lt;","&gt;")</f>
        <v>&gt;</v>
      </c>
      <c r="K34" s="46" t="s">
        <v>28</v>
      </c>
      <c r="L34" s="71">
        <f>IF(D10="Mayor que",TINV($D$5,$L$8-1),TINV($D$5,$L$8-1)*-1)</f>
        <v>-2.0301079282503438</v>
      </c>
      <c r="M34" s="46" t="s">
        <v>25</v>
      </c>
      <c r="N34" s="46"/>
    </row>
    <row r="35" spans="2:14" x14ac:dyDescent="0.2">
      <c r="B35" s="41"/>
      <c r="H35" s="46" t="s">
        <v>68</v>
      </c>
      <c r="I35" s="66">
        <f>K17</f>
        <v>-2</v>
      </c>
      <c r="J35" s="60" t="str">
        <f>IF($D$10="Mayor que","&gt;","&lt;")</f>
        <v>&lt;</v>
      </c>
      <c r="K35" s="46" t="s">
        <v>28</v>
      </c>
      <c r="L35" s="71">
        <f>IF(D10="Mayor que",TINV($D$5,$L$8-1),TINV($D$5,$L$8-1)*-1)</f>
        <v>-2.0301079282503438</v>
      </c>
      <c r="M35" s="46" t="s">
        <v>26</v>
      </c>
      <c r="N35" s="46"/>
    </row>
    <row r="36" spans="2:14" x14ac:dyDescent="0.2">
      <c r="B36" s="41"/>
    </row>
    <row r="37" spans="2:14" x14ac:dyDescent="0.2">
      <c r="B37" s="41"/>
    </row>
    <row r="38" spans="2:14" x14ac:dyDescent="0.2">
      <c r="B38" s="41"/>
    </row>
    <row r="39" spans="2:14" x14ac:dyDescent="0.2">
      <c r="B39" s="41"/>
    </row>
    <row r="40" spans="2:14" x14ac:dyDescent="0.2">
      <c r="B40" s="41"/>
    </row>
    <row r="41" spans="2:14" x14ac:dyDescent="0.2">
      <c r="B41" s="41"/>
    </row>
    <row r="42" spans="2:14" x14ac:dyDescent="0.2">
      <c r="B42" s="41"/>
    </row>
    <row r="43" spans="2:14" x14ac:dyDescent="0.2">
      <c r="B43" s="41"/>
    </row>
    <row r="44" spans="2:14" x14ac:dyDescent="0.2">
      <c r="B44" s="41"/>
    </row>
    <row r="45" spans="2:14" x14ac:dyDescent="0.2">
      <c r="B45" s="41"/>
    </row>
    <row r="46" spans="2:14" x14ac:dyDescent="0.2">
      <c r="B46" s="41"/>
    </row>
    <row r="47" spans="2:14" x14ac:dyDescent="0.2">
      <c r="B47" s="41"/>
    </row>
    <row r="48" spans="2:14" x14ac:dyDescent="0.2">
      <c r="B48" s="41"/>
    </row>
    <row r="49" spans="2:2" x14ac:dyDescent="0.2">
      <c r="B49" s="41"/>
    </row>
    <row r="50" spans="2:2" x14ac:dyDescent="0.2">
      <c r="B50" s="41"/>
    </row>
    <row r="51" spans="2:2" x14ac:dyDescent="0.2">
      <c r="B51" s="41"/>
    </row>
    <row r="52" spans="2:2" x14ac:dyDescent="0.2">
      <c r="B52" s="41"/>
    </row>
    <row r="53" spans="2:2" x14ac:dyDescent="0.2">
      <c r="B53" s="41"/>
    </row>
    <row r="54" spans="2:2" x14ac:dyDescent="0.2">
      <c r="B54" s="41"/>
    </row>
    <row r="55" spans="2:2" x14ac:dyDescent="0.2">
      <c r="B55" s="41"/>
    </row>
    <row r="56" spans="2:2" x14ac:dyDescent="0.2">
      <c r="B56" s="41"/>
    </row>
    <row r="57" spans="2:2" x14ac:dyDescent="0.2">
      <c r="B57" s="41"/>
    </row>
    <row r="58" spans="2:2" x14ac:dyDescent="0.2">
      <c r="B58" s="41"/>
    </row>
    <row r="59" spans="2:2" x14ac:dyDescent="0.2">
      <c r="B59" s="41"/>
    </row>
    <row r="60" spans="2:2" x14ac:dyDescent="0.2">
      <c r="B60" s="41"/>
    </row>
    <row r="61" spans="2:2" x14ac:dyDescent="0.2">
      <c r="B61" s="41"/>
    </row>
    <row r="62" spans="2:2" x14ac:dyDescent="0.2">
      <c r="B62" s="41"/>
    </row>
    <row r="63" spans="2:2" x14ac:dyDescent="0.2">
      <c r="B63" s="41"/>
    </row>
    <row r="64" spans="2:2" x14ac:dyDescent="0.2">
      <c r="B64" s="41"/>
    </row>
    <row r="65" spans="2:2" x14ac:dyDescent="0.2">
      <c r="B65" s="41"/>
    </row>
    <row r="66" spans="2:2" x14ac:dyDescent="0.2">
      <c r="B66" s="41"/>
    </row>
    <row r="67" spans="2:2" x14ac:dyDescent="0.2">
      <c r="B67" s="41"/>
    </row>
    <row r="68" spans="2:2" x14ac:dyDescent="0.2">
      <c r="B68" s="41"/>
    </row>
    <row r="69" spans="2:2" x14ac:dyDescent="0.2">
      <c r="B69" s="41"/>
    </row>
    <row r="70" spans="2:2" x14ac:dyDescent="0.2">
      <c r="B70" s="41"/>
    </row>
    <row r="71" spans="2:2" x14ac:dyDescent="0.2">
      <c r="B71" s="41"/>
    </row>
    <row r="72" spans="2:2" x14ac:dyDescent="0.2">
      <c r="B72" s="41"/>
    </row>
    <row r="73" spans="2:2" x14ac:dyDescent="0.2">
      <c r="B73" s="41"/>
    </row>
    <row r="74" spans="2:2" x14ac:dyDescent="0.2">
      <c r="B74" s="41"/>
    </row>
    <row r="75" spans="2:2" x14ac:dyDescent="0.2">
      <c r="B75" s="41"/>
    </row>
    <row r="76" spans="2:2" x14ac:dyDescent="0.2">
      <c r="B76" s="41"/>
    </row>
    <row r="77" spans="2:2" x14ac:dyDescent="0.2">
      <c r="B77" s="41"/>
    </row>
    <row r="78" spans="2:2" x14ac:dyDescent="0.2">
      <c r="B78" s="41"/>
    </row>
    <row r="79" spans="2:2" x14ac:dyDescent="0.2">
      <c r="B79" s="41"/>
    </row>
    <row r="80" spans="2:2" x14ac:dyDescent="0.2">
      <c r="B80" s="41"/>
    </row>
    <row r="81" spans="2:2" x14ac:dyDescent="0.2">
      <c r="B81" s="41"/>
    </row>
    <row r="82" spans="2:2" x14ac:dyDescent="0.2">
      <c r="B82" s="41"/>
    </row>
    <row r="83" spans="2:2" x14ac:dyDescent="0.2">
      <c r="B83" s="41"/>
    </row>
    <row r="84" spans="2:2" x14ac:dyDescent="0.2">
      <c r="B84" s="41"/>
    </row>
    <row r="85" spans="2:2" x14ac:dyDescent="0.2">
      <c r="B85" s="41"/>
    </row>
    <row r="86" spans="2:2" x14ac:dyDescent="0.2">
      <c r="B86" s="41"/>
    </row>
    <row r="87" spans="2:2" x14ac:dyDescent="0.2">
      <c r="B87" s="41"/>
    </row>
    <row r="88" spans="2:2" x14ac:dyDescent="0.2">
      <c r="B88" s="41"/>
    </row>
    <row r="89" spans="2:2" x14ac:dyDescent="0.2">
      <c r="B89" s="41"/>
    </row>
    <row r="90" spans="2:2" x14ac:dyDescent="0.2">
      <c r="B90" s="41"/>
    </row>
    <row r="91" spans="2:2" x14ac:dyDescent="0.2">
      <c r="B91" s="41"/>
    </row>
    <row r="92" spans="2:2" x14ac:dyDescent="0.2">
      <c r="B92" s="41"/>
    </row>
    <row r="93" spans="2:2" x14ac:dyDescent="0.2">
      <c r="B93" s="41"/>
    </row>
    <row r="94" spans="2:2" x14ac:dyDescent="0.2">
      <c r="B94" s="41"/>
    </row>
    <row r="95" spans="2:2" x14ac:dyDescent="0.2">
      <c r="B95" s="41"/>
    </row>
    <row r="96" spans="2:2" x14ac:dyDescent="0.2">
      <c r="B96" s="41"/>
    </row>
    <row r="97" spans="2:2" x14ac:dyDescent="0.2">
      <c r="B97" s="41"/>
    </row>
    <row r="98" spans="2:2" x14ac:dyDescent="0.2">
      <c r="B98" s="41"/>
    </row>
    <row r="99" spans="2:2" x14ac:dyDescent="0.2">
      <c r="B99" s="41"/>
    </row>
    <row r="100" spans="2:2" x14ac:dyDescent="0.2">
      <c r="B100" s="41"/>
    </row>
    <row r="101" spans="2:2" x14ac:dyDescent="0.2">
      <c r="B101" s="10"/>
    </row>
    <row r="102" spans="2:2" x14ac:dyDescent="0.2">
      <c r="B102" s="10"/>
    </row>
    <row r="103" spans="2:2" x14ac:dyDescent="0.2">
      <c r="B103" s="10"/>
    </row>
    <row r="104" spans="2:2" x14ac:dyDescent="0.2">
      <c r="B104" s="10"/>
    </row>
    <row r="105" spans="2:2" x14ac:dyDescent="0.2">
      <c r="B105" s="10"/>
    </row>
    <row r="106" spans="2:2" x14ac:dyDescent="0.2">
      <c r="B106" s="10"/>
    </row>
    <row r="107" spans="2:2" x14ac:dyDescent="0.2">
      <c r="B107" s="10"/>
    </row>
    <row r="108" spans="2:2" x14ac:dyDescent="0.2">
      <c r="B108" s="10"/>
    </row>
    <row r="109" spans="2:2" x14ac:dyDescent="0.2">
      <c r="B109" s="10"/>
    </row>
    <row r="110" spans="2:2" x14ac:dyDescent="0.2">
      <c r="B110" s="10"/>
    </row>
    <row r="111" spans="2:2" x14ac:dyDescent="0.2">
      <c r="B111" s="10"/>
    </row>
    <row r="112" spans="2:2" x14ac:dyDescent="0.2">
      <c r="B112" s="10"/>
    </row>
    <row r="113" spans="2:2" x14ac:dyDescent="0.2">
      <c r="B113" s="10"/>
    </row>
    <row r="114" spans="2:2" x14ac:dyDescent="0.2">
      <c r="B114" s="10"/>
    </row>
    <row r="115" spans="2:2" x14ac:dyDescent="0.2">
      <c r="B115" s="10"/>
    </row>
    <row r="116" spans="2:2" x14ac:dyDescent="0.2">
      <c r="B116" s="10"/>
    </row>
    <row r="117" spans="2:2" x14ac:dyDescent="0.2">
      <c r="B117" s="10"/>
    </row>
    <row r="118" spans="2:2" x14ac:dyDescent="0.2">
      <c r="B118" s="10"/>
    </row>
    <row r="119" spans="2:2" x14ac:dyDescent="0.2">
      <c r="B119" s="10"/>
    </row>
    <row r="120" spans="2:2" x14ac:dyDescent="0.2">
      <c r="B120" s="10"/>
    </row>
    <row r="121" spans="2:2" x14ac:dyDescent="0.2">
      <c r="B121" s="10"/>
    </row>
    <row r="122" spans="2:2" x14ac:dyDescent="0.2">
      <c r="B122" s="10"/>
    </row>
    <row r="123" spans="2:2" x14ac:dyDescent="0.2">
      <c r="B123" s="10"/>
    </row>
    <row r="124" spans="2:2" x14ac:dyDescent="0.2">
      <c r="B124" s="10"/>
    </row>
    <row r="125" spans="2:2" x14ac:dyDescent="0.2">
      <c r="B125" s="10"/>
    </row>
    <row r="126" spans="2:2" x14ac:dyDescent="0.2">
      <c r="B126" s="10"/>
    </row>
    <row r="127" spans="2:2" x14ac:dyDescent="0.2">
      <c r="B127" s="10"/>
    </row>
    <row r="128" spans="2:2" x14ac:dyDescent="0.2">
      <c r="B128" s="10"/>
    </row>
    <row r="129" spans="2:2" x14ac:dyDescent="0.2">
      <c r="B129" s="10"/>
    </row>
    <row r="130" spans="2:2" x14ac:dyDescent="0.2">
      <c r="B130" s="10"/>
    </row>
    <row r="131" spans="2:2" x14ac:dyDescent="0.2">
      <c r="B131" s="10"/>
    </row>
    <row r="132" spans="2:2" x14ac:dyDescent="0.2">
      <c r="B132" s="10"/>
    </row>
    <row r="133" spans="2:2" x14ac:dyDescent="0.2">
      <c r="B133" s="10"/>
    </row>
    <row r="134" spans="2:2" x14ac:dyDescent="0.2">
      <c r="B134" s="10"/>
    </row>
    <row r="135" spans="2:2" x14ac:dyDescent="0.2">
      <c r="B135" s="10"/>
    </row>
    <row r="136" spans="2:2" x14ac:dyDescent="0.2">
      <c r="B136" s="10"/>
    </row>
    <row r="137" spans="2:2" x14ac:dyDescent="0.2">
      <c r="B137" s="10"/>
    </row>
    <row r="138" spans="2:2" x14ac:dyDescent="0.2">
      <c r="B138" s="10"/>
    </row>
    <row r="139" spans="2:2" x14ac:dyDescent="0.2">
      <c r="B139" s="10"/>
    </row>
    <row r="140" spans="2:2" x14ac:dyDescent="0.2">
      <c r="B140" s="10"/>
    </row>
    <row r="141" spans="2:2" x14ac:dyDescent="0.2">
      <c r="B141" s="10"/>
    </row>
    <row r="142" spans="2:2" x14ac:dyDescent="0.2">
      <c r="B142" s="10"/>
    </row>
    <row r="143" spans="2:2" x14ac:dyDescent="0.2">
      <c r="B143" s="10"/>
    </row>
    <row r="144" spans="2:2" x14ac:dyDescent="0.2">
      <c r="B144" s="10"/>
    </row>
    <row r="145" spans="2:2" x14ac:dyDescent="0.2">
      <c r="B145" s="10"/>
    </row>
    <row r="146" spans="2:2" x14ac:dyDescent="0.2">
      <c r="B146" s="10"/>
    </row>
    <row r="147" spans="2:2" x14ac:dyDescent="0.2">
      <c r="B147" s="10"/>
    </row>
    <row r="148" spans="2:2" x14ac:dyDescent="0.2">
      <c r="B148" s="10"/>
    </row>
    <row r="149" spans="2:2" x14ac:dyDescent="0.2">
      <c r="B149" s="10"/>
    </row>
    <row r="150" spans="2:2" x14ac:dyDescent="0.2">
      <c r="B150" s="10"/>
    </row>
    <row r="151" spans="2:2" x14ac:dyDescent="0.2">
      <c r="B151" s="10"/>
    </row>
    <row r="152" spans="2:2" x14ac:dyDescent="0.2">
      <c r="B152" s="10"/>
    </row>
    <row r="153" spans="2:2" x14ac:dyDescent="0.2">
      <c r="B153" s="10"/>
    </row>
    <row r="154" spans="2:2" x14ac:dyDescent="0.2">
      <c r="B154" s="10"/>
    </row>
    <row r="155" spans="2:2" x14ac:dyDescent="0.2">
      <c r="B155" s="10"/>
    </row>
    <row r="156" spans="2:2" x14ac:dyDescent="0.2">
      <c r="B156" s="10"/>
    </row>
    <row r="157" spans="2:2" x14ac:dyDescent="0.2">
      <c r="B157" s="10"/>
    </row>
    <row r="158" spans="2:2" x14ac:dyDescent="0.2">
      <c r="B158" s="10"/>
    </row>
    <row r="159" spans="2:2" x14ac:dyDescent="0.2">
      <c r="B159" s="10"/>
    </row>
    <row r="160" spans="2:2" x14ac:dyDescent="0.2">
      <c r="B160" s="10"/>
    </row>
    <row r="161" spans="2:2" x14ac:dyDescent="0.2">
      <c r="B161" s="10"/>
    </row>
    <row r="162" spans="2:2" x14ac:dyDescent="0.2">
      <c r="B162" s="10"/>
    </row>
    <row r="163" spans="2:2" x14ac:dyDescent="0.2">
      <c r="B163" s="10"/>
    </row>
    <row r="164" spans="2:2" x14ac:dyDescent="0.2">
      <c r="B164" s="10"/>
    </row>
    <row r="165" spans="2:2" x14ac:dyDescent="0.2">
      <c r="B165" s="10"/>
    </row>
    <row r="166" spans="2:2" x14ac:dyDescent="0.2">
      <c r="B166" s="10"/>
    </row>
    <row r="167" spans="2:2" x14ac:dyDescent="0.2">
      <c r="B167" s="10"/>
    </row>
    <row r="168" spans="2:2" x14ac:dyDescent="0.2">
      <c r="B168" s="10"/>
    </row>
    <row r="169" spans="2:2" x14ac:dyDescent="0.2">
      <c r="B169" s="10"/>
    </row>
    <row r="170" spans="2:2" x14ac:dyDescent="0.2">
      <c r="B170" s="10"/>
    </row>
    <row r="171" spans="2:2" x14ac:dyDescent="0.2">
      <c r="B171" s="10"/>
    </row>
    <row r="172" spans="2:2" x14ac:dyDescent="0.2">
      <c r="B172" s="10"/>
    </row>
    <row r="173" spans="2:2" x14ac:dyDescent="0.2">
      <c r="B173" s="10"/>
    </row>
    <row r="174" spans="2:2" x14ac:dyDescent="0.2">
      <c r="B174" s="10"/>
    </row>
    <row r="175" spans="2:2" x14ac:dyDescent="0.2">
      <c r="B175" s="10"/>
    </row>
    <row r="176" spans="2:2" x14ac:dyDescent="0.2">
      <c r="B176" s="10"/>
    </row>
    <row r="177" spans="2:2" x14ac:dyDescent="0.2">
      <c r="B177" s="10"/>
    </row>
    <row r="178" spans="2:2" x14ac:dyDescent="0.2">
      <c r="B178" s="10"/>
    </row>
    <row r="179" spans="2:2" x14ac:dyDescent="0.2">
      <c r="B179" s="10"/>
    </row>
    <row r="180" spans="2:2" x14ac:dyDescent="0.2">
      <c r="B180" s="10"/>
    </row>
    <row r="181" spans="2:2" x14ac:dyDescent="0.2">
      <c r="B181" s="10"/>
    </row>
    <row r="182" spans="2:2" x14ac:dyDescent="0.2">
      <c r="B182" s="10"/>
    </row>
    <row r="183" spans="2:2" x14ac:dyDescent="0.2">
      <c r="B183" s="10"/>
    </row>
    <row r="184" spans="2:2" x14ac:dyDescent="0.2">
      <c r="B184" s="10"/>
    </row>
    <row r="185" spans="2:2" x14ac:dyDescent="0.2">
      <c r="B185" s="10"/>
    </row>
    <row r="186" spans="2:2" x14ac:dyDescent="0.2">
      <c r="B186" s="10"/>
    </row>
    <row r="187" spans="2:2" x14ac:dyDescent="0.2">
      <c r="B187" s="10"/>
    </row>
    <row r="188" spans="2:2" x14ac:dyDescent="0.2">
      <c r="B188" s="10"/>
    </row>
    <row r="189" spans="2:2" x14ac:dyDescent="0.2">
      <c r="B189" s="10"/>
    </row>
    <row r="190" spans="2:2" x14ac:dyDescent="0.2">
      <c r="B190" s="10"/>
    </row>
    <row r="191" spans="2:2" x14ac:dyDescent="0.2">
      <c r="B191" s="10"/>
    </row>
    <row r="192" spans="2:2" x14ac:dyDescent="0.2">
      <c r="B192" s="10"/>
    </row>
    <row r="193" spans="2:2" x14ac:dyDescent="0.2">
      <c r="B193" s="10"/>
    </row>
    <row r="194" spans="2:2" x14ac:dyDescent="0.2">
      <c r="B194" s="10"/>
    </row>
    <row r="195" spans="2:2" x14ac:dyDescent="0.2">
      <c r="B195" s="10"/>
    </row>
    <row r="196" spans="2:2" x14ac:dyDescent="0.2">
      <c r="B196" s="10"/>
    </row>
    <row r="197" spans="2:2" x14ac:dyDescent="0.2">
      <c r="B197" s="10"/>
    </row>
    <row r="198" spans="2:2" x14ac:dyDescent="0.2">
      <c r="B198" s="10"/>
    </row>
    <row r="199" spans="2:2" x14ac:dyDescent="0.2">
      <c r="B199" s="10"/>
    </row>
    <row r="200" spans="2:2" x14ac:dyDescent="0.2">
      <c r="B200" s="10"/>
    </row>
    <row r="201" spans="2:2" x14ac:dyDescent="0.2">
      <c r="B201" s="10"/>
    </row>
    <row r="202" spans="2:2" x14ac:dyDescent="0.2">
      <c r="B202" s="10"/>
    </row>
    <row r="203" spans="2:2" x14ac:dyDescent="0.2">
      <c r="B203" s="10"/>
    </row>
    <row r="204" spans="2:2" x14ac:dyDescent="0.2">
      <c r="B204" s="10"/>
    </row>
    <row r="205" spans="2:2" x14ac:dyDescent="0.2">
      <c r="B205" s="10"/>
    </row>
    <row r="206" spans="2:2" x14ac:dyDescent="0.2">
      <c r="B206" s="10"/>
    </row>
    <row r="207" spans="2:2" x14ac:dyDescent="0.2">
      <c r="B207" s="10"/>
    </row>
    <row r="208" spans="2:2" x14ac:dyDescent="0.2">
      <c r="B208" s="10"/>
    </row>
    <row r="209" spans="2:2" x14ac:dyDescent="0.2">
      <c r="B209" s="10"/>
    </row>
    <row r="210" spans="2:2" x14ac:dyDescent="0.2">
      <c r="B210" s="10"/>
    </row>
    <row r="211" spans="2:2" x14ac:dyDescent="0.2">
      <c r="B211" s="10"/>
    </row>
    <row r="212" spans="2:2" x14ac:dyDescent="0.2">
      <c r="B212" s="10"/>
    </row>
    <row r="213" spans="2:2" x14ac:dyDescent="0.2">
      <c r="B213" s="10"/>
    </row>
    <row r="214" spans="2:2" x14ac:dyDescent="0.2">
      <c r="B214" s="10"/>
    </row>
    <row r="215" spans="2:2" x14ac:dyDescent="0.2">
      <c r="B215" s="10"/>
    </row>
    <row r="216" spans="2:2" x14ac:dyDescent="0.2">
      <c r="B216" s="10"/>
    </row>
    <row r="217" spans="2:2" x14ac:dyDescent="0.2">
      <c r="B217" s="10"/>
    </row>
    <row r="218" spans="2:2" x14ac:dyDescent="0.2">
      <c r="B218" s="10"/>
    </row>
    <row r="219" spans="2:2" x14ac:dyDescent="0.2">
      <c r="B219" s="10"/>
    </row>
    <row r="220" spans="2:2" x14ac:dyDescent="0.2">
      <c r="B220" s="10"/>
    </row>
    <row r="221" spans="2:2" x14ac:dyDescent="0.2">
      <c r="B221" s="10"/>
    </row>
    <row r="222" spans="2:2" x14ac:dyDescent="0.2">
      <c r="B222" s="10"/>
    </row>
    <row r="223" spans="2:2" x14ac:dyDescent="0.2">
      <c r="B223" s="10"/>
    </row>
    <row r="224" spans="2:2" x14ac:dyDescent="0.2">
      <c r="B224" s="10"/>
    </row>
    <row r="225" spans="2:2" x14ac:dyDescent="0.2">
      <c r="B225" s="10"/>
    </row>
    <row r="226" spans="2:2" x14ac:dyDescent="0.2">
      <c r="B226" s="10"/>
    </row>
    <row r="227" spans="2:2" x14ac:dyDescent="0.2">
      <c r="B227" s="10"/>
    </row>
    <row r="228" spans="2:2" x14ac:dyDescent="0.2">
      <c r="B228" s="10"/>
    </row>
    <row r="229" spans="2:2" x14ac:dyDescent="0.2">
      <c r="B229" s="10"/>
    </row>
    <row r="230" spans="2:2" x14ac:dyDescent="0.2">
      <c r="B230" s="10"/>
    </row>
    <row r="231" spans="2:2" x14ac:dyDescent="0.2">
      <c r="B231" s="10"/>
    </row>
    <row r="232" spans="2:2" x14ac:dyDescent="0.2">
      <c r="B232" s="10"/>
    </row>
    <row r="233" spans="2:2" x14ac:dyDescent="0.2">
      <c r="B233" s="10"/>
    </row>
    <row r="234" spans="2:2" x14ac:dyDescent="0.2">
      <c r="B234" s="10"/>
    </row>
    <row r="235" spans="2:2" x14ac:dyDescent="0.2">
      <c r="B235" s="10"/>
    </row>
    <row r="236" spans="2:2" x14ac:dyDescent="0.2">
      <c r="B236" s="10"/>
    </row>
    <row r="237" spans="2:2" x14ac:dyDescent="0.2">
      <c r="B237" s="10"/>
    </row>
    <row r="238" spans="2:2" x14ac:dyDescent="0.2">
      <c r="B238" s="10"/>
    </row>
    <row r="239" spans="2:2" x14ac:dyDescent="0.2">
      <c r="B239" s="10"/>
    </row>
    <row r="240" spans="2:2" x14ac:dyDescent="0.2">
      <c r="B240" s="10"/>
    </row>
    <row r="241" spans="2:2" x14ac:dyDescent="0.2">
      <c r="B241" s="10"/>
    </row>
    <row r="242" spans="2:2" x14ac:dyDescent="0.2">
      <c r="B242" s="10"/>
    </row>
    <row r="243" spans="2:2" x14ac:dyDescent="0.2">
      <c r="B243" s="10"/>
    </row>
    <row r="244" spans="2:2" x14ac:dyDescent="0.2">
      <c r="B244" s="10"/>
    </row>
    <row r="245" spans="2:2" x14ac:dyDescent="0.2">
      <c r="B245" s="10"/>
    </row>
    <row r="246" spans="2:2" x14ac:dyDescent="0.2">
      <c r="B246" s="10"/>
    </row>
    <row r="247" spans="2:2" x14ac:dyDescent="0.2">
      <c r="B247" s="10"/>
    </row>
    <row r="248" spans="2:2" x14ac:dyDescent="0.2">
      <c r="B248" s="10"/>
    </row>
    <row r="249" spans="2:2" x14ac:dyDescent="0.2">
      <c r="B249" s="10"/>
    </row>
    <row r="250" spans="2:2" x14ac:dyDescent="0.2">
      <c r="B250" s="10"/>
    </row>
    <row r="251" spans="2:2" x14ac:dyDescent="0.2">
      <c r="B251" s="10"/>
    </row>
    <row r="252" spans="2:2" x14ac:dyDescent="0.2">
      <c r="B252" s="10"/>
    </row>
    <row r="253" spans="2:2" x14ac:dyDescent="0.2">
      <c r="B253" s="10"/>
    </row>
    <row r="254" spans="2:2" x14ac:dyDescent="0.2">
      <c r="B254" s="10"/>
    </row>
    <row r="255" spans="2:2" x14ac:dyDescent="0.2">
      <c r="B255" s="10"/>
    </row>
    <row r="256" spans="2:2" x14ac:dyDescent="0.2">
      <c r="B256" s="10"/>
    </row>
    <row r="257" spans="2:2" x14ac:dyDescent="0.2">
      <c r="B257" s="10"/>
    </row>
    <row r="258" spans="2:2" x14ac:dyDescent="0.2">
      <c r="B258" s="10"/>
    </row>
    <row r="259" spans="2:2" x14ac:dyDescent="0.2">
      <c r="B259" s="10"/>
    </row>
    <row r="260" spans="2:2" x14ac:dyDescent="0.2">
      <c r="B260" s="10"/>
    </row>
    <row r="261" spans="2:2" x14ac:dyDescent="0.2">
      <c r="B261" s="10"/>
    </row>
    <row r="262" spans="2:2" x14ac:dyDescent="0.2">
      <c r="B262" s="10"/>
    </row>
    <row r="263" spans="2:2" x14ac:dyDescent="0.2">
      <c r="B263" s="10"/>
    </row>
    <row r="264" spans="2:2" x14ac:dyDescent="0.2">
      <c r="B264" s="10"/>
    </row>
    <row r="265" spans="2:2" x14ac:dyDescent="0.2">
      <c r="B265" s="10"/>
    </row>
    <row r="266" spans="2:2" x14ac:dyDescent="0.2">
      <c r="B266" s="10"/>
    </row>
    <row r="267" spans="2:2" x14ac:dyDescent="0.2">
      <c r="B267" s="10"/>
    </row>
    <row r="268" spans="2:2" x14ac:dyDescent="0.2">
      <c r="B268" s="10"/>
    </row>
    <row r="269" spans="2:2" x14ac:dyDescent="0.2">
      <c r="B269" s="10"/>
    </row>
    <row r="270" spans="2:2" x14ac:dyDescent="0.2">
      <c r="B270" s="10"/>
    </row>
    <row r="271" spans="2:2" x14ac:dyDescent="0.2">
      <c r="B271" s="10"/>
    </row>
    <row r="272" spans="2:2" x14ac:dyDescent="0.2">
      <c r="B272" s="10"/>
    </row>
    <row r="273" spans="2:2" x14ac:dyDescent="0.2">
      <c r="B273" s="10"/>
    </row>
    <row r="274" spans="2:2" x14ac:dyDescent="0.2">
      <c r="B274" s="10"/>
    </row>
    <row r="275" spans="2:2" x14ac:dyDescent="0.2">
      <c r="B275" s="10"/>
    </row>
    <row r="276" spans="2:2" x14ac:dyDescent="0.2">
      <c r="B276" s="10"/>
    </row>
    <row r="277" spans="2:2" x14ac:dyDescent="0.2">
      <c r="B277" s="10"/>
    </row>
    <row r="278" spans="2:2" x14ac:dyDescent="0.2">
      <c r="B278" s="10"/>
    </row>
    <row r="279" spans="2:2" x14ac:dyDescent="0.2">
      <c r="B279" s="10"/>
    </row>
    <row r="280" spans="2:2" x14ac:dyDescent="0.2">
      <c r="B280" s="10"/>
    </row>
    <row r="281" spans="2:2" x14ac:dyDescent="0.2">
      <c r="B281" s="10"/>
    </row>
    <row r="282" spans="2:2" x14ac:dyDescent="0.2">
      <c r="B282" s="10"/>
    </row>
    <row r="283" spans="2:2" x14ac:dyDescent="0.2">
      <c r="B283" s="10"/>
    </row>
    <row r="284" spans="2:2" x14ac:dyDescent="0.2">
      <c r="B284" s="10"/>
    </row>
    <row r="285" spans="2:2" x14ac:dyDescent="0.2">
      <c r="B285" s="10"/>
    </row>
    <row r="286" spans="2:2" x14ac:dyDescent="0.2">
      <c r="B286" s="10"/>
    </row>
    <row r="287" spans="2:2" x14ac:dyDescent="0.2">
      <c r="B287" s="10"/>
    </row>
    <row r="288" spans="2:2" x14ac:dyDescent="0.2">
      <c r="B288" s="10"/>
    </row>
    <row r="289" spans="2:2" x14ac:dyDescent="0.2">
      <c r="B289" s="10"/>
    </row>
    <row r="290" spans="2:2" x14ac:dyDescent="0.2">
      <c r="B290" s="10"/>
    </row>
    <row r="291" spans="2:2" x14ac:dyDescent="0.2">
      <c r="B291" s="10"/>
    </row>
    <row r="292" spans="2:2" x14ac:dyDescent="0.2">
      <c r="B292" s="10"/>
    </row>
    <row r="293" spans="2:2" x14ac:dyDescent="0.2">
      <c r="B293" s="10"/>
    </row>
    <row r="294" spans="2:2" x14ac:dyDescent="0.2">
      <c r="B294" s="10"/>
    </row>
    <row r="295" spans="2:2" x14ac:dyDescent="0.2">
      <c r="B295" s="10"/>
    </row>
    <row r="296" spans="2:2" x14ac:dyDescent="0.2">
      <c r="B296" s="10"/>
    </row>
    <row r="297" spans="2:2" x14ac:dyDescent="0.2">
      <c r="B297" s="10"/>
    </row>
    <row r="298" spans="2:2" x14ac:dyDescent="0.2">
      <c r="B298" s="10"/>
    </row>
    <row r="299" spans="2:2" x14ac:dyDescent="0.2">
      <c r="B299" s="10"/>
    </row>
    <row r="300" spans="2:2" x14ac:dyDescent="0.2">
      <c r="B300" s="10"/>
    </row>
    <row r="301" spans="2:2" x14ac:dyDescent="0.2">
      <c r="B301" s="10"/>
    </row>
    <row r="302" spans="2:2" x14ac:dyDescent="0.2">
      <c r="B302" s="10"/>
    </row>
    <row r="303" spans="2:2" x14ac:dyDescent="0.2">
      <c r="B303" s="10"/>
    </row>
    <row r="304" spans="2:2" x14ac:dyDescent="0.2">
      <c r="B304" s="10"/>
    </row>
    <row r="305" spans="2:2" x14ac:dyDescent="0.2">
      <c r="B305" s="10"/>
    </row>
    <row r="306" spans="2:2" x14ac:dyDescent="0.2">
      <c r="B306" s="10"/>
    </row>
    <row r="307" spans="2:2" x14ac:dyDescent="0.2">
      <c r="B307" s="10"/>
    </row>
    <row r="308" spans="2:2" x14ac:dyDescent="0.2">
      <c r="B308" s="10"/>
    </row>
    <row r="309" spans="2:2" x14ac:dyDescent="0.2">
      <c r="B309" s="10"/>
    </row>
    <row r="310" spans="2:2" x14ac:dyDescent="0.2">
      <c r="B310" s="10"/>
    </row>
    <row r="311" spans="2:2" x14ac:dyDescent="0.2">
      <c r="B311" s="10"/>
    </row>
    <row r="312" spans="2:2" x14ac:dyDescent="0.2">
      <c r="B312" s="10"/>
    </row>
    <row r="313" spans="2:2" x14ac:dyDescent="0.2">
      <c r="B313" s="10"/>
    </row>
    <row r="314" spans="2:2" x14ac:dyDescent="0.2">
      <c r="B314" s="10"/>
    </row>
    <row r="315" spans="2:2" x14ac:dyDescent="0.2">
      <c r="B315" s="10"/>
    </row>
    <row r="316" spans="2:2" x14ac:dyDescent="0.2">
      <c r="B316" s="10"/>
    </row>
    <row r="317" spans="2:2" x14ac:dyDescent="0.2">
      <c r="B317" s="10"/>
    </row>
    <row r="318" spans="2:2" x14ac:dyDescent="0.2">
      <c r="B318" s="10"/>
    </row>
    <row r="319" spans="2:2" x14ac:dyDescent="0.2">
      <c r="B319" s="10"/>
    </row>
    <row r="320" spans="2:2" x14ac:dyDescent="0.2">
      <c r="B320" s="10"/>
    </row>
    <row r="321" spans="2:2" x14ac:dyDescent="0.2">
      <c r="B321" s="10"/>
    </row>
    <row r="322" spans="2:2" x14ac:dyDescent="0.2">
      <c r="B322" s="10"/>
    </row>
    <row r="323" spans="2:2" x14ac:dyDescent="0.2">
      <c r="B323" s="10"/>
    </row>
    <row r="324" spans="2:2" x14ac:dyDescent="0.2">
      <c r="B324" s="10"/>
    </row>
    <row r="325" spans="2:2" x14ac:dyDescent="0.2">
      <c r="B325" s="10"/>
    </row>
    <row r="326" spans="2:2" x14ac:dyDescent="0.2">
      <c r="B326" s="10"/>
    </row>
    <row r="327" spans="2:2" x14ac:dyDescent="0.2">
      <c r="B327" s="10"/>
    </row>
    <row r="328" spans="2:2" x14ac:dyDescent="0.2">
      <c r="B328" s="10"/>
    </row>
    <row r="329" spans="2:2" x14ac:dyDescent="0.2">
      <c r="B329" s="10"/>
    </row>
    <row r="330" spans="2:2" x14ac:dyDescent="0.2">
      <c r="B330" s="10"/>
    </row>
    <row r="331" spans="2:2" x14ac:dyDescent="0.2">
      <c r="B331" s="10"/>
    </row>
    <row r="332" spans="2:2" x14ac:dyDescent="0.2">
      <c r="B332" s="10"/>
    </row>
    <row r="333" spans="2:2" x14ac:dyDescent="0.2">
      <c r="B333" s="10"/>
    </row>
    <row r="334" spans="2:2" x14ac:dyDescent="0.2">
      <c r="B334" s="10"/>
    </row>
    <row r="335" spans="2:2" x14ac:dyDescent="0.2">
      <c r="B335" s="10"/>
    </row>
    <row r="336" spans="2:2" x14ac:dyDescent="0.2">
      <c r="B336" s="10"/>
    </row>
    <row r="337" spans="2:2" x14ac:dyDescent="0.2">
      <c r="B337" s="10"/>
    </row>
    <row r="338" spans="2:2" x14ac:dyDescent="0.2">
      <c r="B338" s="10"/>
    </row>
    <row r="339" spans="2:2" x14ac:dyDescent="0.2">
      <c r="B339" s="10"/>
    </row>
    <row r="340" spans="2:2" x14ac:dyDescent="0.2">
      <c r="B340" s="10"/>
    </row>
    <row r="341" spans="2:2" x14ac:dyDescent="0.2">
      <c r="B341" s="10"/>
    </row>
    <row r="342" spans="2:2" x14ac:dyDescent="0.2">
      <c r="B342" s="10"/>
    </row>
    <row r="343" spans="2:2" x14ac:dyDescent="0.2">
      <c r="B343" s="10"/>
    </row>
    <row r="344" spans="2:2" x14ac:dyDescent="0.2">
      <c r="B344" s="10"/>
    </row>
    <row r="345" spans="2:2" x14ac:dyDescent="0.2">
      <c r="B345" s="10"/>
    </row>
    <row r="346" spans="2:2" x14ac:dyDescent="0.2">
      <c r="B346" s="10"/>
    </row>
    <row r="347" spans="2:2" x14ac:dyDescent="0.2">
      <c r="B347" s="10"/>
    </row>
    <row r="348" spans="2:2" x14ac:dyDescent="0.2">
      <c r="B348" s="10"/>
    </row>
    <row r="349" spans="2:2" x14ac:dyDescent="0.2">
      <c r="B349" s="10"/>
    </row>
    <row r="350" spans="2:2" x14ac:dyDescent="0.2">
      <c r="B350" s="10"/>
    </row>
    <row r="351" spans="2:2" x14ac:dyDescent="0.2">
      <c r="B351" s="10"/>
    </row>
    <row r="352" spans="2:2" x14ac:dyDescent="0.2">
      <c r="B352" s="10"/>
    </row>
    <row r="353" spans="2:2" x14ac:dyDescent="0.2">
      <c r="B353" s="10"/>
    </row>
    <row r="354" spans="2:2" x14ac:dyDescent="0.2">
      <c r="B354" s="10"/>
    </row>
    <row r="355" spans="2:2" x14ac:dyDescent="0.2">
      <c r="B355" s="10"/>
    </row>
    <row r="356" spans="2:2" x14ac:dyDescent="0.2">
      <c r="B356" s="10"/>
    </row>
    <row r="357" spans="2:2" x14ac:dyDescent="0.2">
      <c r="B357" s="10"/>
    </row>
    <row r="358" spans="2:2" x14ac:dyDescent="0.2">
      <c r="B358" s="10"/>
    </row>
    <row r="359" spans="2:2" x14ac:dyDescent="0.2">
      <c r="B359" s="10"/>
    </row>
    <row r="360" spans="2:2" x14ac:dyDescent="0.2">
      <c r="B360" s="10"/>
    </row>
    <row r="361" spans="2:2" x14ac:dyDescent="0.2">
      <c r="B361" s="10"/>
    </row>
    <row r="362" spans="2:2" x14ac:dyDescent="0.2">
      <c r="B362" s="10"/>
    </row>
    <row r="363" spans="2:2" x14ac:dyDescent="0.2">
      <c r="B363" s="10"/>
    </row>
    <row r="364" spans="2:2" x14ac:dyDescent="0.2">
      <c r="B364" s="10"/>
    </row>
    <row r="365" spans="2:2" x14ac:dyDescent="0.2">
      <c r="B365" s="10"/>
    </row>
    <row r="366" spans="2:2" x14ac:dyDescent="0.2">
      <c r="B366" s="10"/>
    </row>
    <row r="367" spans="2:2" x14ac:dyDescent="0.2">
      <c r="B367" s="10"/>
    </row>
    <row r="368" spans="2:2" x14ac:dyDescent="0.2">
      <c r="B368" s="10"/>
    </row>
    <row r="369" spans="2:2" x14ac:dyDescent="0.2">
      <c r="B369" s="10"/>
    </row>
    <row r="370" spans="2:2" x14ac:dyDescent="0.2">
      <c r="B370" s="10"/>
    </row>
    <row r="371" spans="2:2" x14ac:dyDescent="0.2">
      <c r="B371" s="10"/>
    </row>
    <row r="372" spans="2:2" x14ac:dyDescent="0.2">
      <c r="B372" s="10"/>
    </row>
    <row r="373" spans="2:2" x14ac:dyDescent="0.2">
      <c r="B373" s="10"/>
    </row>
    <row r="374" spans="2:2" x14ac:dyDescent="0.2">
      <c r="B374" s="10"/>
    </row>
    <row r="375" spans="2:2" x14ac:dyDescent="0.2">
      <c r="B375" s="10"/>
    </row>
    <row r="376" spans="2:2" x14ac:dyDescent="0.2">
      <c r="B376" s="10"/>
    </row>
    <row r="377" spans="2:2" x14ac:dyDescent="0.2">
      <c r="B377" s="10"/>
    </row>
    <row r="378" spans="2:2" x14ac:dyDescent="0.2">
      <c r="B378" s="10"/>
    </row>
    <row r="379" spans="2:2" x14ac:dyDescent="0.2">
      <c r="B379" s="10"/>
    </row>
    <row r="380" spans="2:2" x14ac:dyDescent="0.2">
      <c r="B380" s="10"/>
    </row>
    <row r="381" spans="2:2" x14ac:dyDescent="0.2">
      <c r="B381" s="10"/>
    </row>
    <row r="382" spans="2:2" x14ac:dyDescent="0.2">
      <c r="B382" s="10"/>
    </row>
    <row r="383" spans="2:2" x14ac:dyDescent="0.2">
      <c r="B383" s="10"/>
    </row>
    <row r="384" spans="2:2" x14ac:dyDescent="0.2">
      <c r="B384" s="10"/>
    </row>
    <row r="385" spans="2:2" x14ac:dyDescent="0.2">
      <c r="B385" s="10"/>
    </row>
    <row r="386" spans="2:2" x14ac:dyDescent="0.2">
      <c r="B386" s="10"/>
    </row>
    <row r="387" spans="2:2" x14ac:dyDescent="0.2">
      <c r="B387" s="10"/>
    </row>
    <row r="388" spans="2:2" x14ac:dyDescent="0.2">
      <c r="B388" s="10"/>
    </row>
    <row r="389" spans="2:2" x14ac:dyDescent="0.2">
      <c r="B389" s="10"/>
    </row>
    <row r="390" spans="2:2" x14ac:dyDescent="0.2">
      <c r="B390" s="10"/>
    </row>
    <row r="391" spans="2:2" x14ac:dyDescent="0.2">
      <c r="B391" s="10"/>
    </row>
    <row r="392" spans="2:2" x14ac:dyDescent="0.2">
      <c r="B392" s="10"/>
    </row>
    <row r="393" spans="2:2" x14ac:dyDescent="0.2">
      <c r="B393" s="10"/>
    </row>
    <row r="394" spans="2:2" x14ac:dyDescent="0.2">
      <c r="B394" s="10"/>
    </row>
    <row r="395" spans="2:2" x14ac:dyDescent="0.2">
      <c r="B395" s="10"/>
    </row>
    <row r="396" spans="2:2" x14ac:dyDescent="0.2">
      <c r="B396" s="10"/>
    </row>
    <row r="397" spans="2:2" x14ac:dyDescent="0.2">
      <c r="B397" s="10"/>
    </row>
    <row r="398" spans="2:2" x14ac:dyDescent="0.2">
      <c r="B398" s="10"/>
    </row>
    <row r="399" spans="2:2" x14ac:dyDescent="0.2">
      <c r="B399" s="10"/>
    </row>
    <row r="400" spans="2:2" x14ac:dyDescent="0.2">
      <c r="B400" s="10"/>
    </row>
    <row r="401" spans="2:2" x14ac:dyDescent="0.2">
      <c r="B401" s="10"/>
    </row>
    <row r="402" spans="2:2" x14ac:dyDescent="0.2">
      <c r="B402" s="10"/>
    </row>
    <row r="403" spans="2:2" x14ac:dyDescent="0.2">
      <c r="B403" s="10"/>
    </row>
    <row r="404" spans="2:2" x14ac:dyDescent="0.2">
      <c r="B404" s="10"/>
    </row>
    <row r="405" spans="2:2" x14ac:dyDescent="0.2">
      <c r="B405" s="10"/>
    </row>
    <row r="406" spans="2:2" x14ac:dyDescent="0.2">
      <c r="B406" s="10"/>
    </row>
    <row r="407" spans="2:2" x14ac:dyDescent="0.2">
      <c r="B407" s="10"/>
    </row>
    <row r="408" spans="2:2" x14ac:dyDescent="0.2">
      <c r="B408" s="10"/>
    </row>
    <row r="409" spans="2:2" x14ac:dyDescent="0.2">
      <c r="B409" s="10"/>
    </row>
    <row r="410" spans="2:2" x14ac:dyDescent="0.2">
      <c r="B410" s="10"/>
    </row>
    <row r="411" spans="2:2" x14ac:dyDescent="0.2">
      <c r="B411" s="10"/>
    </row>
    <row r="412" spans="2:2" x14ac:dyDescent="0.2">
      <c r="B412" s="10"/>
    </row>
    <row r="413" spans="2:2" x14ac:dyDescent="0.2">
      <c r="B413" s="10"/>
    </row>
    <row r="414" spans="2:2" x14ac:dyDescent="0.2">
      <c r="B414" s="10"/>
    </row>
    <row r="415" spans="2:2" x14ac:dyDescent="0.2">
      <c r="B415" s="10"/>
    </row>
    <row r="416" spans="2:2" x14ac:dyDescent="0.2">
      <c r="B416" s="10"/>
    </row>
    <row r="417" spans="2:2" x14ac:dyDescent="0.2">
      <c r="B417" s="10"/>
    </row>
    <row r="418" spans="2:2" x14ac:dyDescent="0.2">
      <c r="B418" s="10"/>
    </row>
    <row r="419" spans="2:2" x14ac:dyDescent="0.2">
      <c r="B419" s="10"/>
    </row>
    <row r="420" spans="2:2" x14ac:dyDescent="0.2">
      <c r="B420" s="10"/>
    </row>
    <row r="421" spans="2:2" x14ac:dyDescent="0.2">
      <c r="B421" s="10"/>
    </row>
    <row r="422" spans="2:2" x14ac:dyDescent="0.2">
      <c r="B422" s="10"/>
    </row>
    <row r="423" spans="2:2" x14ac:dyDescent="0.2">
      <c r="B423" s="10"/>
    </row>
    <row r="424" spans="2:2" x14ac:dyDescent="0.2">
      <c r="B424" s="10"/>
    </row>
    <row r="425" spans="2:2" x14ac:dyDescent="0.2">
      <c r="B425" s="10"/>
    </row>
    <row r="426" spans="2:2" x14ac:dyDescent="0.2">
      <c r="B426" s="10"/>
    </row>
    <row r="427" spans="2:2" x14ac:dyDescent="0.2">
      <c r="B427" s="10"/>
    </row>
    <row r="428" spans="2:2" x14ac:dyDescent="0.2">
      <c r="B428" s="10"/>
    </row>
    <row r="429" spans="2:2" x14ac:dyDescent="0.2">
      <c r="B429" s="10"/>
    </row>
    <row r="430" spans="2:2" x14ac:dyDescent="0.2">
      <c r="B430" s="10"/>
    </row>
    <row r="431" spans="2:2" x14ac:dyDescent="0.2">
      <c r="B431" s="10"/>
    </row>
    <row r="432" spans="2:2" x14ac:dyDescent="0.2">
      <c r="B432" s="10"/>
    </row>
    <row r="433" spans="2:2" x14ac:dyDescent="0.2">
      <c r="B433" s="10"/>
    </row>
    <row r="434" spans="2:2" x14ac:dyDescent="0.2">
      <c r="B434" s="10"/>
    </row>
    <row r="435" spans="2:2" x14ac:dyDescent="0.2">
      <c r="B435" s="10"/>
    </row>
    <row r="436" spans="2:2" x14ac:dyDescent="0.2">
      <c r="B436" s="10"/>
    </row>
    <row r="437" spans="2:2" x14ac:dyDescent="0.2">
      <c r="B437" s="10"/>
    </row>
    <row r="438" spans="2:2" x14ac:dyDescent="0.2">
      <c r="B438" s="10"/>
    </row>
    <row r="439" spans="2:2" x14ac:dyDescent="0.2">
      <c r="B439" s="10"/>
    </row>
    <row r="440" spans="2:2" x14ac:dyDescent="0.2">
      <c r="B440" s="10"/>
    </row>
    <row r="441" spans="2:2" x14ac:dyDescent="0.2">
      <c r="B441" s="10"/>
    </row>
    <row r="442" spans="2:2" x14ac:dyDescent="0.2">
      <c r="B442" s="10"/>
    </row>
    <row r="443" spans="2:2" x14ac:dyDescent="0.2">
      <c r="B443" s="10"/>
    </row>
    <row r="444" spans="2:2" x14ac:dyDescent="0.2">
      <c r="B444" s="10"/>
    </row>
    <row r="445" spans="2:2" x14ac:dyDescent="0.2">
      <c r="B445" s="10"/>
    </row>
    <row r="446" spans="2:2" x14ac:dyDescent="0.2">
      <c r="B446" s="10"/>
    </row>
    <row r="447" spans="2:2" x14ac:dyDescent="0.2">
      <c r="B447" s="10"/>
    </row>
    <row r="448" spans="2:2" x14ac:dyDescent="0.2">
      <c r="B448" s="10"/>
    </row>
    <row r="449" spans="2:2" x14ac:dyDescent="0.2">
      <c r="B449" s="10"/>
    </row>
    <row r="450" spans="2:2" x14ac:dyDescent="0.2">
      <c r="B450" s="10"/>
    </row>
    <row r="451" spans="2:2" x14ac:dyDescent="0.2">
      <c r="B451" s="10"/>
    </row>
    <row r="452" spans="2:2" x14ac:dyDescent="0.2">
      <c r="B452" s="10"/>
    </row>
    <row r="453" spans="2:2" x14ac:dyDescent="0.2">
      <c r="B453" s="10"/>
    </row>
    <row r="454" spans="2:2" x14ac:dyDescent="0.2">
      <c r="B454" s="10"/>
    </row>
    <row r="455" spans="2:2" x14ac:dyDescent="0.2">
      <c r="B455" s="10"/>
    </row>
    <row r="456" spans="2:2" x14ac:dyDescent="0.2">
      <c r="B456" s="10"/>
    </row>
    <row r="457" spans="2:2" x14ac:dyDescent="0.2">
      <c r="B457" s="10"/>
    </row>
    <row r="458" spans="2:2" x14ac:dyDescent="0.2">
      <c r="B458" s="10"/>
    </row>
    <row r="459" spans="2:2" x14ac:dyDescent="0.2">
      <c r="B459" s="10"/>
    </row>
    <row r="460" spans="2:2" x14ac:dyDescent="0.2">
      <c r="B460" s="10"/>
    </row>
    <row r="461" spans="2:2" x14ac:dyDescent="0.2">
      <c r="B461" s="10"/>
    </row>
    <row r="462" spans="2:2" x14ac:dyDescent="0.2">
      <c r="B462" s="10"/>
    </row>
    <row r="463" spans="2:2" x14ac:dyDescent="0.2">
      <c r="B463" s="10"/>
    </row>
    <row r="464" spans="2:2" x14ac:dyDescent="0.2">
      <c r="B464" s="10"/>
    </row>
    <row r="465" spans="2:2" x14ac:dyDescent="0.2">
      <c r="B465" s="10"/>
    </row>
    <row r="466" spans="2:2" x14ac:dyDescent="0.2">
      <c r="B466" s="10"/>
    </row>
    <row r="467" spans="2:2" x14ac:dyDescent="0.2">
      <c r="B467" s="10"/>
    </row>
    <row r="468" spans="2:2" x14ac:dyDescent="0.2">
      <c r="B468" s="10"/>
    </row>
    <row r="469" spans="2:2" x14ac:dyDescent="0.2">
      <c r="B469" s="10"/>
    </row>
    <row r="470" spans="2:2" x14ac:dyDescent="0.2">
      <c r="B470" s="10"/>
    </row>
    <row r="471" spans="2:2" x14ac:dyDescent="0.2">
      <c r="B471" s="10"/>
    </row>
    <row r="472" spans="2:2" x14ac:dyDescent="0.2">
      <c r="B472" s="10"/>
    </row>
    <row r="473" spans="2:2" x14ac:dyDescent="0.2">
      <c r="B473" s="10"/>
    </row>
    <row r="474" spans="2:2" x14ac:dyDescent="0.2">
      <c r="B474" s="10"/>
    </row>
    <row r="475" spans="2:2" x14ac:dyDescent="0.2">
      <c r="B475" s="10"/>
    </row>
    <row r="476" spans="2:2" x14ac:dyDescent="0.2">
      <c r="B476" s="10"/>
    </row>
    <row r="477" spans="2:2" x14ac:dyDescent="0.2">
      <c r="B477" s="10"/>
    </row>
    <row r="478" spans="2:2" x14ac:dyDescent="0.2">
      <c r="B478" s="10"/>
    </row>
    <row r="479" spans="2:2" x14ac:dyDescent="0.2">
      <c r="B479" s="10"/>
    </row>
    <row r="480" spans="2:2" x14ac:dyDescent="0.2">
      <c r="B480" s="10"/>
    </row>
    <row r="481" spans="2:2" x14ac:dyDescent="0.2">
      <c r="B481" s="10"/>
    </row>
    <row r="482" spans="2:2" x14ac:dyDescent="0.2">
      <c r="B482" s="10"/>
    </row>
    <row r="483" spans="2:2" x14ac:dyDescent="0.2">
      <c r="B483" s="10"/>
    </row>
    <row r="484" spans="2:2" x14ac:dyDescent="0.2">
      <c r="B484" s="10"/>
    </row>
    <row r="485" spans="2:2" x14ac:dyDescent="0.2">
      <c r="B485" s="10"/>
    </row>
    <row r="486" spans="2:2" x14ac:dyDescent="0.2">
      <c r="B486" s="10"/>
    </row>
    <row r="487" spans="2:2" x14ac:dyDescent="0.2">
      <c r="B487" s="10"/>
    </row>
    <row r="488" spans="2:2" x14ac:dyDescent="0.2">
      <c r="B488" s="10"/>
    </row>
    <row r="489" spans="2:2" x14ac:dyDescent="0.2">
      <c r="B489" s="10"/>
    </row>
    <row r="490" spans="2:2" x14ac:dyDescent="0.2">
      <c r="B490" s="10"/>
    </row>
    <row r="491" spans="2:2" x14ac:dyDescent="0.2">
      <c r="B491" s="10"/>
    </row>
    <row r="492" spans="2:2" x14ac:dyDescent="0.2">
      <c r="B492" s="10"/>
    </row>
    <row r="493" spans="2:2" x14ac:dyDescent="0.2">
      <c r="B493" s="10"/>
    </row>
    <row r="494" spans="2:2" x14ac:dyDescent="0.2">
      <c r="B494" s="10"/>
    </row>
    <row r="495" spans="2:2" x14ac:dyDescent="0.2">
      <c r="B495" s="10"/>
    </row>
    <row r="496" spans="2:2" x14ac:dyDescent="0.2">
      <c r="B496" s="10"/>
    </row>
    <row r="497" spans="2:2" x14ac:dyDescent="0.2">
      <c r="B497" s="10"/>
    </row>
    <row r="498" spans="2:2" x14ac:dyDescent="0.2">
      <c r="B498" s="10"/>
    </row>
    <row r="499" spans="2:2" x14ac:dyDescent="0.2">
      <c r="B499" s="10"/>
    </row>
    <row r="500" spans="2:2" x14ac:dyDescent="0.2">
      <c r="B500" s="10"/>
    </row>
    <row r="501" spans="2:2" x14ac:dyDescent="0.2">
      <c r="B501" s="11"/>
    </row>
    <row r="502" spans="2:2" x14ac:dyDescent="0.2">
      <c r="B502" s="11"/>
    </row>
    <row r="503" spans="2:2" x14ac:dyDescent="0.2">
      <c r="B503" s="11"/>
    </row>
    <row r="504" spans="2:2" x14ac:dyDescent="0.2">
      <c r="B504" s="11"/>
    </row>
    <row r="505" spans="2:2" x14ac:dyDescent="0.2">
      <c r="B505" s="11"/>
    </row>
    <row r="506" spans="2:2" x14ac:dyDescent="0.2">
      <c r="B506" s="11"/>
    </row>
    <row r="507" spans="2:2" x14ac:dyDescent="0.2">
      <c r="B507" s="11"/>
    </row>
    <row r="508" spans="2:2" x14ac:dyDescent="0.2">
      <c r="B508" s="11"/>
    </row>
    <row r="509" spans="2:2" x14ac:dyDescent="0.2">
      <c r="B509" s="11"/>
    </row>
    <row r="510" spans="2:2" x14ac:dyDescent="0.2">
      <c r="B510" s="11"/>
    </row>
    <row r="511" spans="2:2" x14ac:dyDescent="0.2">
      <c r="B511" s="11"/>
    </row>
    <row r="512" spans="2:2" x14ac:dyDescent="0.2">
      <c r="B512" s="11"/>
    </row>
    <row r="513" spans="2:2" x14ac:dyDescent="0.2">
      <c r="B513" s="11"/>
    </row>
    <row r="514" spans="2:2" x14ac:dyDescent="0.2">
      <c r="B514" s="11"/>
    </row>
    <row r="515" spans="2:2" x14ac:dyDescent="0.2">
      <c r="B515" s="11"/>
    </row>
    <row r="516" spans="2:2" x14ac:dyDescent="0.2">
      <c r="B516" s="11"/>
    </row>
    <row r="517" spans="2:2" x14ac:dyDescent="0.2">
      <c r="B517" s="11"/>
    </row>
    <row r="518" spans="2:2" x14ac:dyDescent="0.2">
      <c r="B518" s="11"/>
    </row>
    <row r="519" spans="2:2" x14ac:dyDescent="0.2">
      <c r="B519" s="11"/>
    </row>
    <row r="520" spans="2:2" x14ac:dyDescent="0.2">
      <c r="B520" s="11"/>
    </row>
    <row r="521" spans="2:2" x14ac:dyDescent="0.2">
      <c r="B521" s="11"/>
    </row>
    <row r="522" spans="2:2" x14ac:dyDescent="0.2">
      <c r="B522" s="11"/>
    </row>
  </sheetData>
  <mergeCells count="7">
    <mergeCell ref="B2:J2"/>
    <mergeCell ref="F4:F5"/>
    <mergeCell ref="D14:F14"/>
    <mergeCell ref="M26:N26"/>
    <mergeCell ref="M14:N14"/>
    <mergeCell ref="H4:K4"/>
    <mergeCell ref="D7:D9"/>
  </mergeCells>
  <phoneticPr fontId="0" type="noConversion"/>
  <dataValidations count="2">
    <dataValidation showInputMessage="1" showErrorMessage="1" errorTitle="ERROR" error="UD. INGRESO UN VALOR NO PERMITIDO_x000a_" promptTitle="ADVERTENCIA DE INGRESO DE ..." prompt="INGRESE UN VALOR ENTRE 1 Y 100" sqref="D5"/>
    <dataValidation type="list" allowBlank="1" showInputMessage="1" showErrorMessage="1" errorTitle="MENSAJE DE ERROR" error="Por favor borrar el_x000a_dato y hacer clic en_x000a_el botón de la_x000a_ventana desplegable_x000a_para seleccionar un aopción." promptTitle="MENSAJE DE SELECCIÓN" prompt="Hacer clic en el botón _x000a_de la ventana desplegable_x000a_y seleccionar una opción." sqref="D10">
      <formula1>$D$12:$D$13</formula1>
    </dataValidation>
  </dataValidations>
  <pageMargins left="0.75" right="0.75" top="0.55000000000000004" bottom="1" header="0" footer="0"/>
  <pageSetup paperSize="9" scale="95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5" r:id="rId4" name="CmdLimpiar">
          <controlPr defaultSize="0" autoLine="0" r:id="rId5">
            <anchor moveWithCells="1">
              <from>
                <xdr:col>4</xdr:col>
                <xdr:colOff>152400</xdr:colOff>
                <xdr:row>20</xdr:row>
                <xdr:rowOff>152400</xdr:rowOff>
              </from>
              <to>
                <xdr:col>5</xdr:col>
                <xdr:colOff>781050</xdr:colOff>
                <xdr:row>23</xdr:row>
                <xdr:rowOff>38100</xdr:rowOff>
              </to>
            </anchor>
          </controlPr>
        </control>
      </mc:Choice>
      <mc:Fallback>
        <control shapeId="3075" r:id="rId4" name="CmdLimpiar"/>
      </mc:Fallback>
    </mc:AlternateContent>
    <mc:AlternateContent xmlns:mc="http://schemas.openxmlformats.org/markup-compatibility/2006">
      <mc:Choice Requires="x14">
        <control shapeId="3074" r:id="rId6" name="CmdCalculos">
          <controlPr defaultSize="0" autoLine="0" r:id="rId7">
            <anchor moveWithCells="1">
              <from>
                <xdr:col>3</xdr:col>
                <xdr:colOff>304800</xdr:colOff>
                <xdr:row>16</xdr:row>
                <xdr:rowOff>142875</xdr:rowOff>
              </from>
              <to>
                <xdr:col>5</xdr:col>
                <xdr:colOff>619125</xdr:colOff>
                <xdr:row>20</xdr:row>
                <xdr:rowOff>19050</xdr:rowOff>
              </to>
            </anchor>
          </controlPr>
        </control>
      </mc:Choice>
      <mc:Fallback>
        <control shapeId="3074" r:id="rId6" name="CmdCalculos"/>
      </mc:Fallback>
    </mc:AlternateContent>
    <mc:AlternateContent xmlns:mc="http://schemas.openxmlformats.org/markup-compatibility/2006">
      <mc:Choice Requires="x14">
        <control shapeId="3073" r:id="rId8" name="CmdVolver">
          <controlPr defaultSize="0" autoLine="0" r:id="rId9">
            <anchor moveWithCells="1">
              <from>
                <xdr:col>3</xdr:col>
                <xdr:colOff>47625</xdr:colOff>
                <xdr:row>20</xdr:row>
                <xdr:rowOff>180975</xdr:rowOff>
              </from>
              <to>
                <xdr:col>3</xdr:col>
                <xdr:colOff>857250</xdr:colOff>
                <xdr:row>23</xdr:row>
                <xdr:rowOff>19050</xdr:rowOff>
              </to>
            </anchor>
          </controlPr>
        </control>
      </mc:Choice>
      <mc:Fallback>
        <control shapeId="3073" r:id="rId8" name="CmdVolv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N522"/>
  <sheetViews>
    <sheetView zoomScale="85" workbookViewId="0">
      <selection activeCell="B2" sqref="B2:K2"/>
    </sheetView>
  </sheetViews>
  <sheetFormatPr defaultColWidth="11.42578125" defaultRowHeight="12.75" x14ac:dyDescent="0.2"/>
  <cols>
    <col min="1" max="1" width="0.5703125" style="13" customWidth="1"/>
    <col min="2" max="2" width="11.42578125" style="12"/>
    <col min="3" max="3" width="1" style="13" customWidth="1"/>
    <col min="4" max="4" width="10.85546875" style="12" customWidth="1"/>
    <col min="5" max="5" width="1.28515625" style="13" customWidth="1"/>
    <col min="6" max="6" width="13.28515625" style="13" customWidth="1"/>
    <col min="7" max="7" width="2.7109375" style="13" customWidth="1"/>
    <col min="8" max="8" width="15.5703125" style="13" customWidth="1"/>
    <col min="9" max="9" width="9.140625" style="13" customWidth="1"/>
    <col min="10" max="10" width="18.85546875" style="13" customWidth="1"/>
    <col min="11" max="12" width="8.85546875" style="13" customWidth="1"/>
    <col min="13" max="13" width="11.140625" style="13" customWidth="1"/>
    <col min="14" max="16384" width="11.42578125" style="13"/>
  </cols>
  <sheetData>
    <row r="1" spans="2:13" ht="6" customHeight="1" thickBot="1" x14ac:dyDescent="0.25"/>
    <row r="2" spans="2:13" ht="22.5" customHeight="1" thickBot="1" x14ac:dyDescent="0.3">
      <c r="B2" s="184" t="s">
        <v>60</v>
      </c>
      <c r="C2" s="185"/>
      <c r="D2" s="185"/>
      <c r="E2" s="185"/>
      <c r="F2" s="185"/>
      <c r="G2" s="185"/>
      <c r="H2" s="185"/>
      <c r="I2" s="185"/>
      <c r="J2" s="185"/>
      <c r="K2" s="186"/>
      <c r="L2" s="14"/>
      <c r="M2" s="14"/>
    </row>
    <row r="3" spans="2:13" ht="6.75" customHeight="1" thickBot="1" x14ac:dyDescent="0.25">
      <c r="H3" s="15"/>
    </row>
    <row r="4" spans="2:13" ht="51" x14ac:dyDescent="0.2">
      <c r="B4" s="26" t="s">
        <v>9</v>
      </c>
      <c r="C4" s="16"/>
      <c r="D4" s="26" t="s">
        <v>10</v>
      </c>
      <c r="E4" s="17"/>
      <c r="F4" s="26" t="s">
        <v>14</v>
      </c>
      <c r="G4" s="17"/>
      <c r="H4" s="26" t="s">
        <v>57</v>
      </c>
      <c r="J4" s="189" t="s">
        <v>37</v>
      </c>
      <c r="K4" s="190"/>
      <c r="L4" s="191"/>
    </row>
    <row r="5" spans="2:13" x14ac:dyDescent="0.2">
      <c r="B5" s="163">
        <v>16</v>
      </c>
      <c r="C5" s="163">
        <v>26</v>
      </c>
      <c r="D5" s="43">
        <v>26</v>
      </c>
      <c r="E5" s="18"/>
      <c r="F5" s="42">
        <v>0.05</v>
      </c>
      <c r="G5" s="18"/>
      <c r="H5" s="44" t="s">
        <v>33</v>
      </c>
      <c r="J5" s="78" t="s">
        <v>61</v>
      </c>
      <c r="K5" s="86" t="s">
        <v>40</v>
      </c>
      <c r="L5" s="75">
        <v>0</v>
      </c>
    </row>
    <row r="6" spans="2:13" ht="13.5" thickBot="1" x14ac:dyDescent="0.25">
      <c r="B6" s="163">
        <v>17</v>
      </c>
      <c r="C6" s="163">
        <v>24</v>
      </c>
      <c r="D6" s="41">
        <v>24</v>
      </c>
      <c r="F6" s="127" t="s">
        <v>32</v>
      </c>
      <c r="J6" s="79" t="s">
        <v>62</v>
      </c>
      <c r="K6" s="76" t="str">
        <f>IF($H$5="Mayor que","&gt;","&lt;")</f>
        <v>&lt;</v>
      </c>
      <c r="L6" s="77">
        <v>0</v>
      </c>
    </row>
    <row r="7" spans="2:13" ht="15" x14ac:dyDescent="0.2">
      <c r="B7" s="163">
        <v>13</v>
      </c>
      <c r="C7" s="163">
        <v>15</v>
      </c>
      <c r="D7" s="41">
        <v>15</v>
      </c>
      <c r="F7" s="127" t="s">
        <v>33</v>
      </c>
      <c r="H7" s="188" t="s">
        <v>1</v>
      </c>
      <c r="I7" s="188"/>
      <c r="J7" s="134" t="s">
        <v>7</v>
      </c>
      <c r="K7" s="45" t="s">
        <v>8</v>
      </c>
    </row>
    <row r="8" spans="2:13" x14ac:dyDescent="0.2">
      <c r="B8" s="163">
        <v>10</v>
      </c>
      <c r="C8" s="163">
        <v>13</v>
      </c>
      <c r="D8" s="41">
        <v>13</v>
      </c>
      <c r="I8" s="24" t="s">
        <v>2</v>
      </c>
      <c r="J8" s="19">
        <f>AVERAGE(B5:B100)</f>
        <v>13.857142857142858</v>
      </c>
      <c r="K8" s="19">
        <f>AVERAGE(D5:D100)</f>
        <v>20.142857142857142</v>
      </c>
    </row>
    <row r="9" spans="2:13" x14ac:dyDescent="0.2">
      <c r="B9" s="163">
        <v>11</v>
      </c>
      <c r="C9" s="163">
        <v>21</v>
      </c>
      <c r="D9" s="41">
        <v>21</v>
      </c>
      <c r="I9" s="24" t="s">
        <v>3</v>
      </c>
      <c r="J9" s="19">
        <f>STDEV(B5:B100)</f>
        <v>2.515665205978614</v>
      </c>
      <c r="K9" s="19">
        <f>STDEV(D5:D100)</f>
        <v>5.7817446699565922</v>
      </c>
    </row>
    <row r="10" spans="2:13" x14ac:dyDescent="0.2">
      <c r="B10" s="163">
        <v>14</v>
      </c>
      <c r="C10" s="163">
        <v>31</v>
      </c>
      <c r="D10" s="41">
        <v>31</v>
      </c>
      <c r="I10" s="24" t="s">
        <v>4</v>
      </c>
      <c r="J10" s="20">
        <f>COUNT(B5:B100)</f>
        <v>21</v>
      </c>
      <c r="K10" s="20">
        <f>COUNT(D5:D100)</f>
        <v>21</v>
      </c>
    </row>
    <row r="11" spans="2:13" x14ac:dyDescent="0.2">
      <c r="B11" s="163">
        <v>17</v>
      </c>
      <c r="C11" s="163">
        <v>22</v>
      </c>
      <c r="D11" s="41">
        <v>22</v>
      </c>
      <c r="F11" s="127">
        <f>((J10-1)*J9^2+(K10-1)*K9^2)/H13</f>
        <v>19.878571428571444</v>
      </c>
      <c r="I11" s="24" t="s">
        <v>5</v>
      </c>
      <c r="J11" s="187">
        <f>IF($H$5="Mayor que",NORMSINV(1-$F$5),NORMSINV($F$5))</f>
        <v>-1.6448536269514726</v>
      </c>
      <c r="K11" s="187"/>
    </row>
    <row r="12" spans="2:13" x14ac:dyDescent="0.2">
      <c r="B12" s="163">
        <v>14</v>
      </c>
      <c r="C12" s="163">
        <v>26</v>
      </c>
      <c r="D12" s="41">
        <v>26</v>
      </c>
      <c r="I12" s="24" t="s">
        <v>6</v>
      </c>
      <c r="J12" s="187">
        <f>IF($H$5="Mayor que",TINV($F$5*2,$J$10+$K$10-2),TINV($F$5*2,$J$10+$K$10-2)*-1)</f>
        <v>-1.6838510133356521</v>
      </c>
      <c r="K12" s="187"/>
    </row>
    <row r="13" spans="2:13" x14ac:dyDescent="0.2">
      <c r="B13" s="163">
        <v>17</v>
      </c>
      <c r="C13" s="163">
        <v>27</v>
      </c>
      <c r="D13" s="41">
        <v>27</v>
      </c>
      <c r="G13" s="137" t="s">
        <v>65</v>
      </c>
      <c r="H13" s="139">
        <f>J10+K10-2</f>
        <v>40</v>
      </c>
      <c r="I13" s="138" t="s">
        <v>66</v>
      </c>
    </row>
    <row r="14" spans="2:13" ht="15.75" x14ac:dyDescent="0.25">
      <c r="B14" s="163">
        <v>12</v>
      </c>
      <c r="C14" s="163">
        <v>19</v>
      </c>
      <c r="D14" s="41">
        <v>19</v>
      </c>
      <c r="H14" s="69" t="s">
        <v>35</v>
      </c>
      <c r="I14" s="70"/>
      <c r="J14" s="70"/>
      <c r="K14" s="70"/>
      <c r="L14" s="72" t="str">
        <f>H5</f>
        <v>Menor que</v>
      </c>
      <c r="M14" s="73"/>
    </row>
    <row r="15" spans="2:13" x14ac:dyDescent="0.2">
      <c r="B15" s="163">
        <v>9</v>
      </c>
      <c r="C15" s="163">
        <v>11</v>
      </c>
      <c r="D15" s="41">
        <v>11</v>
      </c>
    </row>
    <row r="16" spans="2:13" ht="15.75" x14ac:dyDescent="0.25">
      <c r="B16" s="163">
        <v>14</v>
      </c>
      <c r="C16" s="163">
        <v>17</v>
      </c>
      <c r="D16" s="41">
        <v>17</v>
      </c>
      <c r="H16" s="129" t="s">
        <v>63</v>
      </c>
    </row>
    <row r="17" spans="2:14" x14ac:dyDescent="0.2">
      <c r="B17" s="163">
        <v>14</v>
      </c>
      <c r="C17" s="163">
        <v>18</v>
      </c>
      <c r="D17" s="41">
        <v>18</v>
      </c>
      <c r="H17" s="130" t="s">
        <v>24</v>
      </c>
      <c r="I17" s="128"/>
      <c r="K17" s="80">
        <f>($J$8-$K$8)/SQRT($J$9^2/$J$10+$K$9^2/$K$10)</f>
        <v>-4.5683219257612837</v>
      </c>
      <c r="L17" s="131"/>
    </row>
    <row r="18" spans="2:14" x14ac:dyDescent="0.2">
      <c r="B18" s="163">
        <v>18</v>
      </c>
      <c r="C18" s="163">
        <v>28</v>
      </c>
      <c r="D18" s="41">
        <v>28</v>
      </c>
      <c r="H18" s="132" t="s">
        <v>36</v>
      </c>
      <c r="I18" s="133">
        <f>K17</f>
        <v>-4.5683219257612837</v>
      </c>
      <c r="J18" s="134" t="str">
        <f>IF($D$10="Mayor que","&lt;","&gt;")</f>
        <v>&gt;</v>
      </c>
      <c r="K18" s="132" t="s">
        <v>27</v>
      </c>
      <c r="L18" s="135">
        <f>J11</f>
        <v>-1.6448536269514726</v>
      </c>
      <c r="M18" s="132" t="s">
        <v>25</v>
      </c>
      <c r="N18" s="132"/>
    </row>
    <row r="19" spans="2:14" x14ac:dyDescent="0.2">
      <c r="B19" s="163">
        <v>13</v>
      </c>
      <c r="C19" s="163">
        <v>17</v>
      </c>
      <c r="D19" s="41">
        <v>17</v>
      </c>
      <c r="H19" s="132" t="s">
        <v>36</v>
      </c>
      <c r="I19" s="133">
        <f>K17</f>
        <v>-4.5683219257612837</v>
      </c>
      <c r="J19" s="134" t="str">
        <f>IF($D$10="Mayor que","&gt;","&lt;")</f>
        <v>&lt;</v>
      </c>
      <c r="K19" s="132" t="s">
        <v>27</v>
      </c>
      <c r="L19" s="135">
        <f>J11</f>
        <v>-1.6448536269514726</v>
      </c>
      <c r="M19" s="132" t="s">
        <v>26</v>
      </c>
      <c r="N19" s="132"/>
    </row>
    <row r="20" spans="2:14" x14ac:dyDescent="0.2">
      <c r="B20" s="163">
        <v>15</v>
      </c>
      <c r="C20" s="163">
        <v>16</v>
      </c>
      <c r="D20" s="41">
        <v>16</v>
      </c>
    </row>
    <row r="21" spans="2:14" ht="15.75" x14ac:dyDescent="0.25">
      <c r="B21" s="163">
        <v>10</v>
      </c>
      <c r="C21" s="163">
        <v>16</v>
      </c>
      <c r="D21" s="41">
        <v>16</v>
      </c>
      <c r="H21" s="164" t="s">
        <v>64</v>
      </c>
      <c r="I21" s="165"/>
      <c r="J21" s="165"/>
      <c r="K21" s="165"/>
      <c r="L21" s="165"/>
      <c r="M21" s="165"/>
      <c r="N21" s="165"/>
    </row>
    <row r="22" spans="2:14" x14ac:dyDescent="0.2">
      <c r="B22" s="163">
        <v>15</v>
      </c>
      <c r="C22" s="163">
        <v>19</v>
      </c>
      <c r="D22" s="41">
        <v>19</v>
      </c>
      <c r="H22" s="166" t="s">
        <v>67</v>
      </c>
      <c r="I22" s="167"/>
      <c r="J22" s="165"/>
      <c r="K22" s="168">
        <f>((J8-K8)/SQRT(F11*(1/J10+1/K10)))</f>
        <v>-4.5683219257612837</v>
      </c>
      <c r="L22" s="169"/>
      <c r="M22" s="165"/>
      <c r="N22" s="165"/>
    </row>
    <row r="23" spans="2:14" x14ac:dyDescent="0.2">
      <c r="B23" s="163">
        <v>12</v>
      </c>
      <c r="C23" s="163">
        <v>11</v>
      </c>
      <c r="D23" s="41">
        <v>11</v>
      </c>
      <c r="H23" s="159" t="s">
        <v>68</v>
      </c>
      <c r="I23" s="160">
        <f>$K$22</f>
        <v>-4.5683219257612837</v>
      </c>
      <c r="J23" s="161" t="str">
        <f>IF($D$10="Mayor que","&lt;","&gt;")</f>
        <v>&gt;</v>
      </c>
      <c r="K23" s="159" t="s">
        <v>28</v>
      </c>
      <c r="L23" s="162">
        <f>J12</f>
        <v>-1.6838510133356521</v>
      </c>
      <c r="M23" s="159" t="s">
        <v>25</v>
      </c>
      <c r="N23" s="159"/>
    </row>
    <row r="24" spans="2:14" x14ac:dyDescent="0.2">
      <c r="B24" s="163">
        <v>15</v>
      </c>
      <c r="C24" s="163">
        <v>19</v>
      </c>
      <c r="D24" s="41">
        <v>19</v>
      </c>
      <c r="H24" s="159" t="s">
        <v>68</v>
      </c>
      <c r="I24" s="160">
        <f>$K$22</f>
        <v>-4.5683219257612837</v>
      </c>
      <c r="J24" s="161" t="str">
        <f>IF($D$10="Mayor que","&gt;","&lt;")</f>
        <v>&lt;</v>
      </c>
      <c r="K24" s="159" t="s">
        <v>28</v>
      </c>
      <c r="L24" s="162">
        <f>J12</f>
        <v>-1.6838510133356521</v>
      </c>
      <c r="M24" s="159" t="s">
        <v>26</v>
      </c>
      <c r="N24" s="159"/>
    </row>
    <row r="25" spans="2:14" x14ac:dyDescent="0.2">
      <c r="B25" s="163">
        <v>15</v>
      </c>
      <c r="C25" s="163">
        <v>27</v>
      </c>
      <c r="D25" s="41">
        <v>27</v>
      </c>
    </row>
    <row r="26" spans="2:14" ht="15.75" x14ac:dyDescent="0.25">
      <c r="B26" s="41"/>
      <c r="D26" s="41"/>
      <c r="H26" s="69" t="s">
        <v>35</v>
      </c>
      <c r="I26" s="70"/>
      <c r="J26" s="70"/>
      <c r="K26" s="70"/>
      <c r="L26" s="72" t="s">
        <v>34</v>
      </c>
      <c r="M26" s="73"/>
    </row>
    <row r="27" spans="2:14" ht="15.75" x14ac:dyDescent="0.25">
      <c r="B27" s="41"/>
      <c r="D27" s="41"/>
      <c r="H27" s="129" t="s">
        <v>63</v>
      </c>
    </row>
    <row r="28" spans="2:14" x14ac:dyDescent="0.2">
      <c r="B28" s="41"/>
      <c r="D28" s="41"/>
      <c r="H28" s="130" t="s">
        <v>24</v>
      </c>
      <c r="I28" s="128"/>
      <c r="K28" s="80">
        <f>K17</f>
        <v>-4.5683219257612837</v>
      </c>
      <c r="L28" s="131"/>
    </row>
    <row r="29" spans="2:14" x14ac:dyDescent="0.2">
      <c r="B29" s="41"/>
      <c r="D29" s="41"/>
      <c r="H29" s="132" t="s">
        <v>36</v>
      </c>
      <c r="I29" s="133">
        <f>K28</f>
        <v>-4.5683219257612837</v>
      </c>
      <c r="J29" s="134" t="str">
        <f>IF($D$10="Mayor que","&lt;","&gt;")</f>
        <v>&gt;</v>
      </c>
      <c r="K29" s="132" t="s">
        <v>27</v>
      </c>
      <c r="L29" s="135">
        <f>IF($H$5="Mayor que",NORMSINV(1-$F$5/2),NORMSINV($F$5/2))</f>
        <v>-1.9599639845400538</v>
      </c>
      <c r="M29" s="132" t="s">
        <v>25</v>
      </c>
      <c r="N29" s="132"/>
    </row>
    <row r="30" spans="2:14" x14ac:dyDescent="0.2">
      <c r="B30" s="41"/>
      <c r="D30" s="41"/>
      <c r="H30" s="132" t="s">
        <v>36</v>
      </c>
      <c r="I30" s="136">
        <f>K28</f>
        <v>-4.5683219257612837</v>
      </c>
      <c r="J30" s="134" t="str">
        <f>IF($D$10="Mayor que","&gt;","&lt;")</f>
        <v>&lt;</v>
      </c>
      <c r="K30" s="132" t="s">
        <v>27</v>
      </c>
      <c r="L30" s="135">
        <f>L29</f>
        <v>-1.9599639845400538</v>
      </c>
      <c r="M30" s="132" t="s">
        <v>26</v>
      </c>
      <c r="N30" s="132"/>
    </row>
    <row r="31" spans="2:14" x14ac:dyDescent="0.2">
      <c r="B31" s="41"/>
      <c r="D31" s="41"/>
    </row>
    <row r="32" spans="2:14" ht="15.75" x14ac:dyDescent="0.25">
      <c r="B32" s="41"/>
      <c r="D32" s="41"/>
      <c r="H32" s="129" t="s">
        <v>64</v>
      </c>
    </row>
    <row r="33" spans="2:14" x14ac:dyDescent="0.2">
      <c r="B33" s="41"/>
      <c r="D33" s="41"/>
      <c r="H33" s="130" t="s">
        <v>67</v>
      </c>
      <c r="I33" s="128"/>
      <c r="K33" s="80">
        <f>$K$22</f>
        <v>-4.5683219257612837</v>
      </c>
      <c r="L33" s="131"/>
    </row>
    <row r="34" spans="2:14" x14ac:dyDescent="0.2">
      <c r="B34" s="41"/>
      <c r="D34" s="41"/>
      <c r="H34" s="132" t="s">
        <v>68</v>
      </c>
      <c r="I34" s="133">
        <f>$K$33</f>
        <v>-4.5683219257612837</v>
      </c>
      <c r="J34" s="134" t="str">
        <f>IF($D$10="Mayor que","&lt;","&gt;")</f>
        <v>&gt;</v>
      </c>
      <c r="K34" s="132" t="s">
        <v>28</v>
      </c>
      <c r="L34" s="135">
        <f>IF($H$5="Mayor que",TINV($F$5,$J$10+$K$10-2),TINV($F$5,$J$10+$K$10-2)*-1)</f>
        <v>-2.0210753903062737</v>
      </c>
      <c r="M34" s="132" t="s">
        <v>25</v>
      </c>
      <c r="N34" s="132"/>
    </row>
    <row r="35" spans="2:14" x14ac:dyDescent="0.2">
      <c r="B35" s="41"/>
      <c r="D35" s="41"/>
      <c r="H35" s="132" t="s">
        <v>68</v>
      </c>
      <c r="I35" s="133">
        <f>$K$33</f>
        <v>-4.5683219257612837</v>
      </c>
      <c r="J35" s="134" t="str">
        <f>IF($D$10="Mayor que","&gt;","&lt;")</f>
        <v>&lt;</v>
      </c>
      <c r="K35" s="132" t="s">
        <v>28</v>
      </c>
      <c r="L35" s="135">
        <f>L34</f>
        <v>-2.0210753903062737</v>
      </c>
      <c r="M35" s="132" t="s">
        <v>26</v>
      </c>
      <c r="N35" s="132"/>
    </row>
    <row r="36" spans="2:14" x14ac:dyDescent="0.2">
      <c r="B36" s="41"/>
      <c r="D36" s="41"/>
    </row>
    <row r="37" spans="2:14" x14ac:dyDescent="0.2">
      <c r="B37" s="41"/>
      <c r="D37" s="41"/>
    </row>
    <row r="38" spans="2:14" x14ac:dyDescent="0.2">
      <c r="B38" s="41"/>
      <c r="D38" s="41"/>
    </row>
    <row r="39" spans="2:14" x14ac:dyDescent="0.2">
      <c r="B39" s="41"/>
      <c r="D39" s="41"/>
    </row>
    <row r="40" spans="2:14" x14ac:dyDescent="0.2">
      <c r="B40" s="41"/>
      <c r="D40" s="41"/>
    </row>
    <row r="41" spans="2:14" x14ac:dyDescent="0.2">
      <c r="B41" s="41"/>
      <c r="D41" s="41"/>
    </row>
    <row r="42" spans="2:14" x14ac:dyDescent="0.2">
      <c r="B42" s="41"/>
      <c r="D42" s="41"/>
    </row>
    <row r="43" spans="2:14" x14ac:dyDescent="0.2">
      <c r="B43" s="41"/>
      <c r="D43" s="41"/>
    </row>
    <row r="44" spans="2:14" x14ac:dyDescent="0.2">
      <c r="B44" s="41"/>
      <c r="D44" s="41"/>
    </row>
    <row r="45" spans="2:14" x14ac:dyDescent="0.2">
      <c r="B45" s="41"/>
      <c r="D45" s="41"/>
    </row>
    <row r="46" spans="2:14" x14ac:dyDescent="0.2">
      <c r="B46" s="41"/>
      <c r="D46" s="41"/>
    </row>
    <row r="47" spans="2:14" x14ac:dyDescent="0.2">
      <c r="B47" s="41"/>
      <c r="D47" s="41"/>
    </row>
    <row r="48" spans="2:14" x14ac:dyDescent="0.2">
      <c r="B48" s="41"/>
      <c r="D48" s="41"/>
    </row>
    <row r="49" spans="2:4" x14ac:dyDescent="0.2">
      <c r="B49" s="41"/>
      <c r="D49" s="41"/>
    </row>
    <row r="50" spans="2:4" x14ac:dyDescent="0.2">
      <c r="B50" s="41"/>
      <c r="D50" s="41"/>
    </row>
    <row r="51" spans="2:4" x14ac:dyDescent="0.2">
      <c r="B51" s="41"/>
      <c r="D51" s="41"/>
    </row>
    <row r="52" spans="2:4" x14ac:dyDescent="0.2">
      <c r="B52" s="41"/>
      <c r="D52" s="41"/>
    </row>
    <row r="53" spans="2:4" x14ac:dyDescent="0.2">
      <c r="B53" s="41"/>
      <c r="D53" s="41"/>
    </row>
    <row r="54" spans="2:4" x14ac:dyDescent="0.2">
      <c r="B54" s="41"/>
      <c r="D54" s="41"/>
    </row>
    <row r="55" spans="2:4" x14ac:dyDescent="0.2">
      <c r="B55" s="41"/>
      <c r="D55" s="41"/>
    </row>
    <row r="56" spans="2:4" x14ac:dyDescent="0.2">
      <c r="B56" s="41"/>
      <c r="D56" s="41"/>
    </row>
    <row r="57" spans="2:4" x14ac:dyDescent="0.2">
      <c r="B57" s="41"/>
      <c r="D57" s="41"/>
    </row>
    <row r="58" spans="2:4" x14ac:dyDescent="0.2">
      <c r="B58" s="41"/>
      <c r="D58" s="41"/>
    </row>
    <row r="59" spans="2:4" x14ac:dyDescent="0.2">
      <c r="B59" s="41"/>
      <c r="D59" s="41"/>
    </row>
    <row r="60" spans="2:4" x14ac:dyDescent="0.2">
      <c r="B60" s="41"/>
      <c r="D60" s="41"/>
    </row>
    <row r="61" spans="2:4" x14ac:dyDescent="0.2">
      <c r="B61" s="41"/>
      <c r="D61" s="41"/>
    </row>
    <row r="62" spans="2:4" x14ac:dyDescent="0.2">
      <c r="B62" s="41"/>
      <c r="D62" s="41"/>
    </row>
    <row r="63" spans="2:4" x14ac:dyDescent="0.2">
      <c r="B63" s="41"/>
      <c r="D63" s="41"/>
    </row>
    <row r="64" spans="2:4" x14ac:dyDescent="0.2">
      <c r="B64" s="41"/>
      <c r="D64" s="41"/>
    </row>
    <row r="65" spans="2:4" x14ac:dyDescent="0.2">
      <c r="B65" s="41"/>
      <c r="D65" s="41"/>
    </row>
    <row r="66" spans="2:4" x14ac:dyDescent="0.2">
      <c r="B66" s="41"/>
      <c r="D66" s="41"/>
    </row>
    <row r="67" spans="2:4" x14ac:dyDescent="0.2">
      <c r="B67" s="41"/>
      <c r="D67" s="41"/>
    </row>
    <row r="68" spans="2:4" x14ac:dyDescent="0.2">
      <c r="B68" s="41"/>
      <c r="D68" s="41"/>
    </row>
    <row r="69" spans="2:4" x14ac:dyDescent="0.2">
      <c r="B69" s="41"/>
      <c r="D69" s="41"/>
    </row>
    <row r="70" spans="2:4" x14ac:dyDescent="0.2">
      <c r="B70" s="41"/>
      <c r="D70" s="41"/>
    </row>
    <row r="71" spans="2:4" x14ac:dyDescent="0.2">
      <c r="B71" s="41"/>
      <c r="D71" s="41"/>
    </row>
    <row r="72" spans="2:4" x14ac:dyDescent="0.2">
      <c r="B72" s="41"/>
      <c r="D72" s="41"/>
    </row>
    <row r="73" spans="2:4" x14ac:dyDescent="0.2">
      <c r="B73" s="41"/>
      <c r="D73" s="41"/>
    </row>
    <row r="74" spans="2:4" x14ac:dyDescent="0.2">
      <c r="B74" s="41"/>
      <c r="D74" s="41"/>
    </row>
    <row r="75" spans="2:4" x14ac:dyDescent="0.2">
      <c r="B75" s="41"/>
      <c r="D75" s="41"/>
    </row>
    <row r="76" spans="2:4" x14ac:dyDescent="0.2">
      <c r="B76" s="41"/>
      <c r="D76" s="41"/>
    </row>
    <row r="77" spans="2:4" x14ac:dyDescent="0.2">
      <c r="B77" s="41"/>
      <c r="D77" s="41"/>
    </row>
    <row r="78" spans="2:4" x14ac:dyDescent="0.2">
      <c r="B78" s="41"/>
      <c r="D78" s="41"/>
    </row>
    <row r="79" spans="2:4" x14ac:dyDescent="0.2">
      <c r="B79" s="41"/>
      <c r="D79" s="41"/>
    </row>
    <row r="80" spans="2:4" x14ac:dyDescent="0.2">
      <c r="B80" s="41"/>
      <c r="D80" s="41"/>
    </row>
    <row r="81" spans="2:4" x14ac:dyDescent="0.2">
      <c r="B81" s="41"/>
      <c r="D81" s="41"/>
    </row>
    <row r="82" spans="2:4" x14ac:dyDescent="0.2">
      <c r="B82" s="41"/>
      <c r="D82" s="41"/>
    </row>
    <row r="83" spans="2:4" x14ac:dyDescent="0.2">
      <c r="B83" s="41"/>
      <c r="D83" s="41"/>
    </row>
    <row r="84" spans="2:4" x14ac:dyDescent="0.2">
      <c r="B84" s="41"/>
      <c r="D84" s="41"/>
    </row>
    <row r="85" spans="2:4" x14ac:dyDescent="0.2">
      <c r="B85" s="41"/>
      <c r="D85" s="41"/>
    </row>
    <row r="86" spans="2:4" x14ac:dyDescent="0.2">
      <c r="B86" s="41"/>
      <c r="D86" s="41"/>
    </row>
    <row r="87" spans="2:4" x14ac:dyDescent="0.2">
      <c r="B87" s="41"/>
      <c r="D87" s="41"/>
    </row>
    <row r="88" spans="2:4" x14ac:dyDescent="0.2">
      <c r="B88" s="41"/>
      <c r="D88" s="41"/>
    </row>
    <row r="89" spans="2:4" x14ac:dyDescent="0.2">
      <c r="B89" s="41"/>
      <c r="D89" s="41"/>
    </row>
    <row r="90" spans="2:4" x14ac:dyDescent="0.2">
      <c r="B90" s="41"/>
      <c r="D90" s="41"/>
    </row>
    <row r="91" spans="2:4" x14ac:dyDescent="0.2">
      <c r="B91" s="41"/>
      <c r="D91" s="41"/>
    </row>
    <row r="92" spans="2:4" x14ac:dyDescent="0.2">
      <c r="B92" s="41"/>
      <c r="D92" s="41"/>
    </row>
    <row r="93" spans="2:4" x14ac:dyDescent="0.2">
      <c r="B93" s="41"/>
      <c r="D93" s="41"/>
    </row>
    <row r="94" spans="2:4" x14ac:dyDescent="0.2">
      <c r="B94" s="41"/>
      <c r="D94" s="41"/>
    </row>
    <row r="95" spans="2:4" x14ac:dyDescent="0.2">
      <c r="B95" s="41"/>
      <c r="D95" s="41"/>
    </row>
    <row r="96" spans="2:4" x14ac:dyDescent="0.2">
      <c r="B96" s="41"/>
      <c r="D96" s="41"/>
    </row>
    <row r="97" spans="2:4" x14ac:dyDescent="0.2">
      <c r="B97" s="41"/>
      <c r="D97" s="41"/>
    </row>
    <row r="98" spans="2:4" x14ac:dyDescent="0.2">
      <c r="B98" s="41"/>
      <c r="D98" s="41"/>
    </row>
    <row r="99" spans="2:4" x14ac:dyDescent="0.2">
      <c r="B99" s="41"/>
      <c r="D99" s="41"/>
    </row>
    <row r="100" spans="2:4" x14ac:dyDescent="0.2">
      <c r="B100" s="41"/>
      <c r="D100" s="41"/>
    </row>
    <row r="101" spans="2:4" x14ac:dyDescent="0.2">
      <c r="B101" s="21"/>
    </row>
    <row r="102" spans="2:4" x14ac:dyDescent="0.2">
      <c r="B102" s="21"/>
    </row>
    <row r="103" spans="2:4" x14ac:dyDescent="0.2">
      <c r="B103" s="21"/>
    </row>
    <row r="104" spans="2:4" x14ac:dyDescent="0.2">
      <c r="B104" s="21"/>
    </row>
    <row r="105" spans="2:4" x14ac:dyDescent="0.2">
      <c r="B105" s="21"/>
    </row>
    <row r="106" spans="2:4" x14ac:dyDescent="0.2">
      <c r="B106" s="21"/>
    </row>
    <row r="107" spans="2:4" x14ac:dyDescent="0.2">
      <c r="B107" s="21"/>
    </row>
    <row r="108" spans="2:4" x14ac:dyDescent="0.2">
      <c r="B108" s="21"/>
    </row>
    <row r="109" spans="2:4" x14ac:dyDescent="0.2">
      <c r="B109" s="21"/>
    </row>
    <row r="110" spans="2:4" x14ac:dyDescent="0.2">
      <c r="B110" s="21"/>
    </row>
    <row r="111" spans="2:4" x14ac:dyDescent="0.2">
      <c r="B111" s="21"/>
    </row>
    <row r="112" spans="2:4" x14ac:dyDescent="0.2">
      <c r="B112" s="21"/>
    </row>
    <row r="113" spans="2:2" x14ac:dyDescent="0.2">
      <c r="B113" s="21"/>
    </row>
    <row r="114" spans="2:2" x14ac:dyDescent="0.2">
      <c r="B114" s="21"/>
    </row>
    <row r="115" spans="2:2" x14ac:dyDescent="0.2">
      <c r="B115" s="21"/>
    </row>
    <row r="116" spans="2:2" x14ac:dyDescent="0.2">
      <c r="B116" s="21"/>
    </row>
    <row r="117" spans="2:2" x14ac:dyDescent="0.2">
      <c r="B117" s="21"/>
    </row>
    <row r="118" spans="2:2" x14ac:dyDescent="0.2">
      <c r="B118" s="21"/>
    </row>
    <row r="119" spans="2:2" x14ac:dyDescent="0.2">
      <c r="B119" s="21"/>
    </row>
    <row r="120" spans="2:2" x14ac:dyDescent="0.2">
      <c r="B120" s="21"/>
    </row>
    <row r="121" spans="2:2" x14ac:dyDescent="0.2">
      <c r="B121" s="21"/>
    </row>
    <row r="122" spans="2:2" x14ac:dyDescent="0.2">
      <c r="B122" s="21"/>
    </row>
    <row r="123" spans="2:2" x14ac:dyDescent="0.2">
      <c r="B123" s="21"/>
    </row>
    <row r="124" spans="2:2" x14ac:dyDescent="0.2">
      <c r="B124" s="21"/>
    </row>
    <row r="125" spans="2:2" x14ac:dyDescent="0.2">
      <c r="B125" s="21"/>
    </row>
    <row r="126" spans="2:2" x14ac:dyDescent="0.2">
      <c r="B126" s="21"/>
    </row>
    <row r="127" spans="2:2" x14ac:dyDescent="0.2">
      <c r="B127" s="21"/>
    </row>
    <row r="128" spans="2:2" x14ac:dyDescent="0.2">
      <c r="B128" s="21"/>
    </row>
    <row r="129" spans="2:2" x14ac:dyDescent="0.2">
      <c r="B129" s="21"/>
    </row>
    <row r="130" spans="2:2" x14ac:dyDescent="0.2">
      <c r="B130" s="21"/>
    </row>
    <row r="131" spans="2:2" x14ac:dyDescent="0.2">
      <c r="B131" s="21"/>
    </row>
    <row r="132" spans="2:2" x14ac:dyDescent="0.2">
      <c r="B132" s="21"/>
    </row>
    <row r="133" spans="2:2" x14ac:dyDescent="0.2">
      <c r="B133" s="21"/>
    </row>
    <row r="134" spans="2:2" x14ac:dyDescent="0.2">
      <c r="B134" s="21"/>
    </row>
    <row r="135" spans="2:2" x14ac:dyDescent="0.2">
      <c r="B135" s="21"/>
    </row>
    <row r="136" spans="2:2" x14ac:dyDescent="0.2">
      <c r="B136" s="21"/>
    </row>
    <row r="137" spans="2:2" x14ac:dyDescent="0.2">
      <c r="B137" s="21"/>
    </row>
    <row r="138" spans="2:2" x14ac:dyDescent="0.2">
      <c r="B138" s="21"/>
    </row>
    <row r="139" spans="2:2" x14ac:dyDescent="0.2">
      <c r="B139" s="21"/>
    </row>
    <row r="140" spans="2:2" x14ac:dyDescent="0.2">
      <c r="B140" s="21"/>
    </row>
    <row r="141" spans="2:2" x14ac:dyDescent="0.2">
      <c r="B141" s="21"/>
    </row>
    <row r="142" spans="2:2" x14ac:dyDescent="0.2">
      <c r="B142" s="21"/>
    </row>
    <row r="143" spans="2:2" x14ac:dyDescent="0.2">
      <c r="B143" s="21"/>
    </row>
    <row r="144" spans="2:2" x14ac:dyDescent="0.2">
      <c r="B144" s="21"/>
    </row>
    <row r="145" spans="2:2" x14ac:dyDescent="0.2">
      <c r="B145" s="21"/>
    </row>
    <row r="146" spans="2:2" x14ac:dyDescent="0.2">
      <c r="B146" s="21"/>
    </row>
    <row r="147" spans="2:2" x14ac:dyDescent="0.2">
      <c r="B147" s="21"/>
    </row>
    <row r="148" spans="2:2" x14ac:dyDescent="0.2">
      <c r="B148" s="21"/>
    </row>
    <row r="149" spans="2:2" x14ac:dyDescent="0.2">
      <c r="B149" s="21"/>
    </row>
    <row r="150" spans="2:2" x14ac:dyDescent="0.2">
      <c r="B150" s="21"/>
    </row>
    <row r="151" spans="2:2" x14ac:dyDescent="0.2">
      <c r="B151" s="21"/>
    </row>
    <row r="152" spans="2:2" x14ac:dyDescent="0.2">
      <c r="B152" s="21"/>
    </row>
    <row r="153" spans="2:2" x14ac:dyDescent="0.2">
      <c r="B153" s="21"/>
    </row>
    <row r="154" spans="2:2" x14ac:dyDescent="0.2">
      <c r="B154" s="21"/>
    </row>
    <row r="155" spans="2:2" x14ac:dyDescent="0.2">
      <c r="B155" s="21"/>
    </row>
    <row r="156" spans="2:2" x14ac:dyDescent="0.2">
      <c r="B156" s="21"/>
    </row>
    <row r="157" spans="2:2" x14ac:dyDescent="0.2">
      <c r="B157" s="21"/>
    </row>
    <row r="158" spans="2:2" x14ac:dyDescent="0.2">
      <c r="B158" s="21"/>
    </row>
    <row r="159" spans="2:2" x14ac:dyDescent="0.2">
      <c r="B159" s="21"/>
    </row>
    <row r="160" spans="2:2" x14ac:dyDescent="0.2">
      <c r="B160" s="21"/>
    </row>
    <row r="161" spans="2:2" x14ac:dyDescent="0.2">
      <c r="B161" s="21"/>
    </row>
    <row r="162" spans="2:2" x14ac:dyDescent="0.2">
      <c r="B162" s="21"/>
    </row>
    <row r="163" spans="2:2" x14ac:dyDescent="0.2">
      <c r="B163" s="21"/>
    </row>
    <row r="164" spans="2:2" x14ac:dyDescent="0.2">
      <c r="B164" s="21"/>
    </row>
    <row r="165" spans="2:2" x14ac:dyDescent="0.2">
      <c r="B165" s="21"/>
    </row>
    <row r="166" spans="2:2" x14ac:dyDescent="0.2">
      <c r="B166" s="21"/>
    </row>
    <row r="167" spans="2:2" x14ac:dyDescent="0.2">
      <c r="B167" s="21"/>
    </row>
    <row r="168" spans="2:2" x14ac:dyDescent="0.2">
      <c r="B168" s="21"/>
    </row>
    <row r="169" spans="2:2" x14ac:dyDescent="0.2">
      <c r="B169" s="21"/>
    </row>
    <row r="170" spans="2:2" x14ac:dyDescent="0.2">
      <c r="B170" s="21"/>
    </row>
    <row r="171" spans="2:2" x14ac:dyDescent="0.2">
      <c r="B171" s="21"/>
    </row>
    <row r="172" spans="2:2" x14ac:dyDescent="0.2">
      <c r="B172" s="21"/>
    </row>
    <row r="173" spans="2:2" x14ac:dyDescent="0.2">
      <c r="B173" s="21"/>
    </row>
    <row r="174" spans="2:2" x14ac:dyDescent="0.2">
      <c r="B174" s="21"/>
    </row>
    <row r="175" spans="2:2" x14ac:dyDescent="0.2">
      <c r="B175" s="21"/>
    </row>
    <row r="176" spans="2:2" x14ac:dyDescent="0.2">
      <c r="B176" s="21"/>
    </row>
    <row r="177" spans="2:2" x14ac:dyDescent="0.2">
      <c r="B177" s="21"/>
    </row>
    <row r="178" spans="2:2" x14ac:dyDescent="0.2">
      <c r="B178" s="21"/>
    </row>
    <row r="179" spans="2:2" x14ac:dyDescent="0.2">
      <c r="B179" s="21"/>
    </row>
    <row r="180" spans="2:2" x14ac:dyDescent="0.2">
      <c r="B180" s="21"/>
    </row>
    <row r="181" spans="2:2" x14ac:dyDescent="0.2">
      <c r="B181" s="21"/>
    </row>
    <row r="182" spans="2:2" x14ac:dyDescent="0.2">
      <c r="B182" s="21"/>
    </row>
    <row r="183" spans="2:2" x14ac:dyDescent="0.2">
      <c r="B183" s="21"/>
    </row>
    <row r="184" spans="2:2" x14ac:dyDescent="0.2">
      <c r="B184" s="21"/>
    </row>
    <row r="185" spans="2:2" x14ac:dyDescent="0.2">
      <c r="B185" s="21"/>
    </row>
    <row r="186" spans="2:2" x14ac:dyDescent="0.2">
      <c r="B186" s="21"/>
    </row>
    <row r="187" spans="2:2" x14ac:dyDescent="0.2">
      <c r="B187" s="21"/>
    </row>
    <row r="188" spans="2:2" x14ac:dyDescent="0.2">
      <c r="B188" s="21"/>
    </row>
    <row r="189" spans="2:2" x14ac:dyDescent="0.2">
      <c r="B189" s="21"/>
    </row>
    <row r="190" spans="2:2" x14ac:dyDescent="0.2">
      <c r="B190" s="21"/>
    </row>
    <row r="191" spans="2:2" x14ac:dyDescent="0.2">
      <c r="B191" s="21"/>
    </row>
    <row r="192" spans="2:2" x14ac:dyDescent="0.2">
      <c r="B192" s="21"/>
    </row>
    <row r="193" spans="2:2" x14ac:dyDescent="0.2">
      <c r="B193" s="21"/>
    </row>
    <row r="194" spans="2:2" x14ac:dyDescent="0.2">
      <c r="B194" s="21"/>
    </row>
    <row r="195" spans="2:2" x14ac:dyDescent="0.2">
      <c r="B195" s="21"/>
    </row>
    <row r="196" spans="2:2" x14ac:dyDescent="0.2">
      <c r="B196" s="21"/>
    </row>
    <row r="197" spans="2:2" x14ac:dyDescent="0.2">
      <c r="B197" s="21"/>
    </row>
    <row r="198" spans="2:2" x14ac:dyDescent="0.2">
      <c r="B198" s="21"/>
    </row>
    <row r="199" spans="2:2" x14ac:dyDescent="0.2">
      <c r="B199" s="21"/>
    </row>
    <row r="200" spans="2:2" x14ac:dyDescent="0.2">
      <c r="B200" s="21"/>
    </row>
    <row r="201" spans="2:2" x14ac:dyDescent="0.2">
      <c r="B201" s="21"/>
    </row>
    <row r="202" spans="2:2" x14ac:dyDescent="0.2">
      <c r="B202" s="21"/>
    </row>
    <row r="203" spans="2:2" x14ac:dyDescent="0.2">
      <c r="B203" s="21"/>
    </row>
    <row r="204" spans="2:2" x14ac:dyDescent="0.2">
      <c r="B204" s="21"/>
    </row>
    <row r="205" spans="2:2" x14ac:dyDescent="0.2">
      <c r="B205" s="21"/>
    </row>
    <row r="206" spans="2:2" x14ac:dyDescent="0.2">
      <c r="B206" s="21"/>
    </row>
    <row r="207" spans="2:2" x14ac:dyDescent="0.2">
      <c r="B207" s="21"/>
    </row>
    <row r="208" spans="2:2" x14ac:dyDescent="0.2">
      <c r="B208" s="21"/>
    </row>
    <row r="209" spans="2:2" x14ac:dyDescent="0.2">
      <c r="B209" s="21"/>
    </row>
    <row r="210" spans="2:2" x14ac:dyDescent="0.2">
      <c r="B210" s="21"/>
    </row>
    <row r="211" spans="2:2" x14ac:dyDescent="0.2">
      <c r="B211" s="21"/>
    </row>
    <row r="212" spans="2:2" x14ac:dyDescent="0.2">
      <c r="B212" s="21"/>
    </row>
    <row r="213" spans="2:2" x14ac:dyDescent="0.2">
      <c r="B213" s="21"/>
    </row>
    <row r="214" spans="2:2" x14ac:dyDescent="0.2">
      <c r="B214" s="21"/>
    </row>
    <row r="215" spans="2:2" x14ac:dyDescent="0.2">
      <c r="B215" s="21"/>
    </row>
    <row r="216" spans="2:2" x14ac:dyDescent="0.2">
      <c r="B216" s="21"/>
    </row>
    <row r="217" spans="2:2" x14ac:dyDescent="0.2">
      <c r="B217" s="21"/>
    </row>
    <row r="218" spans="2:2" x14ac:dyDescent="0.2">
      <c r="B218" s="21"/>
    </row>
    <row r="219" spans="2:2" x14ac:dyDescent="0.2">
      <c r="B219" s="21"/>
    </row>
    <row r="220" spans="2:2" x14ac:dyDescent="0.2">
      <c r="B220" s="21"/>
    </row>
    <row r="221" spans="2:2" x14ac:dyDescent="0.2">
      <c r="B221" s="21"/>
    </row>
    <row r="222" spans="2:2" x14ac:dyDescent="0.2">
      <c r="B222" s="21"/>
    </row>
    <row r="223" spans="2:2" x14ac:dyDescent="0.2">
      <c r="B223" s="21"/>
    </row>
    <row r="224" spans="2:2" x14ac:dyDescent="0.2">
      <c r="B224" s="21"/>
    </row>
    <row r="225" spans="2:2" x14ac:dyDescent="0.2">
      <c r="B225" s="21"/>
    </row>
    <row r="226" spans="2:2" x14ac:dyDescent="0.2">
      <c r="B226" s="21"/>
    </row>
    <row r="227" spans="2:2" x14ac:dyDescent="0.2">
      <c r="B227" s="21"/>
    </row>
    <row r="228" spans="2:2" x14ac:dyDescent="0.2">
      <c r="B228" s="21"/>
    </row>
    <row r="229" spans="2:2" x14ac:dyDescent="0.2">
      <c r="B229" s="21"/>
    </row>
    <row r="230" spans="2:2" x14ac:dyDescent="0.2">
      <c r="B230" s="21"/>
    </row>
    <row r="231" spans="2:2" x14ac:dyDescent="0.2">
      <c r="B231" s="21"/>
    </row>
    <row r="232" spans="2:2" x14ac:dyDescent="0.2">
      <c r="B232" s="21"/>
    </row>
    <row r="233" spans="2:2" x14ac:dyDescent="0.2">
      <c r="B233" s="21"/>
    </row>
    <row r="234" spans="2:2" x14ac:dyDescent="0.2">
      <c r="B234" s="21"/>
    </row>
    <row r="235" spans="2:2" x14ac:dyDescent="0.2">
      <c r="B235" s="21"/>
    </row>
    <row r="236" spans="2:2" x14ac:dyDescent="0.2">
      <c r="B236" s="21"/>
    </row>
    <row r="237" spans="2:2" x14ac:dyDescent="0.2">
      <c r="B237" s="21"/>
    </row>
    <row r="238" spans="2:2" x14ac:dyDescent="0.2">
      <c r="B238" s="21"/>
    </row>
    <row r="239" spans="2:2" x14ac:dyDescent="0.2">
      <c r="B239" s="21"/>
    </row>
    <row r="240" spans="2:2" x14ac:dyDescent="0.2">
      <c r="B240" s="21"/>
    </row>
    <row r="241" spans="2:2" x14ac:dyDescent="0.2">
      <c r="B241" s="21"/>
    </row>
    <row r="242" spans="2:2" x14ac:dyDescent="0.2">
      <c r="B242" s="21"/>
    </row>
    <row r="243" spans="2:2" x14ac:dyDescent="0.2">
      <c r="B243" s="21"/>
    </row>
    <row r="244" spans="2:2" x14ac:dyDescent="0.2">
      <c r="B244" s="21"/>
    </row>
    <row r="245" spans="2:2" x14ac:dyDescent="0.2">
      <c r="B245" s="21"/>
    </row>
    <row r="246" spans="2:2" x14ac:dyDescent="0.2">
      <c r="B246" s="21"/>
    </row>
    <row r="247" spans="2:2" x14ac:dyDescent="0.2">
      <c r="B247" s="21"/>
    </row>
    <row r="248" spans="2:2" x14ac:dyDescent="0.2">
      <c r="B248" s="21"/>
    </row>
    <row r="249" spans="2:2" x14ac:dyDescent="0.2">
      <c r="B249" s="21"/>
    </row>
    <row r="250" spans="2:2" x14ac:dyDescent="0.2">
      <c r="B250" s="21"/>
    </row>
    <row r="251" spans="2:2" x14ac:dyDescent="0.2">
      <c r="B251" s="21"/>
    </row>
    <row r="252" spans="2:2" x14ac:dyDescent="0.2">
      <c r="B252" s="21"/>
    </row>
    <row r="253" spans="2:2" x14ac:dyDescent="0.2">
      <c r="B253" s="21"/>
    </row>
    <row r="254" spans="2:2" x14ac:dyDescent="0.2">
      <c r="B254" s="21"/>
    </row>
    <row r="255" spans="2:2" x14ac:dyDescent="0.2">
      <c r="B255" s="21"/>
    </row>
    <row r="256" spans="2:2" x14ac:dyDescent="0.2">
      <c r="B256" s="21"/>
    </row>
    <row r="257" spans="2:2" x14ac:dyDescent="0.2">
      <c r="B257" s="21"/>
    </row>
    <row r="258" spans="2:2" x14ac:dyDescent="0.2">
      <c r="B258" s="21"/>
    </row>
    <row r="259" spans="2:2" x14ac:dyDescent="0.2">
      <c r="B259" s="21"/>
    </row>
    <row r="260" spans="2:2" x14ac:dyDescent="0.2">
      <c r="B260" s="21"/>
    </row>
    <row r="261" spans="2:2" x14ac:dyDescent="0.2">
      <c r="B261" s="21"/>
    </row>
    <row r="262" spans="2:2" x14ac:dyDescent="0.2">
      <c r="B262" s="21"/>
    </row>
    <row r="263" spans="2:2" x14ac:dyDescent="0.2">
      <c r="B263" s="21"/>
    </row>
    <row r="264" spans="2:2" x14ac:dyDescent="0.2">
      <c r="B264" s="21"/>
    </row>
    <row r="265" spans="2:2" x14ac:dyDescent="0.2">
      <c r="B265" s="21"/>
    </row>
    <row r="266" spans="2:2" x14ac:dyDescent="0.2">
      <c r="B266" s="21"/>
    </row>
    <row r="267" spans="2:2" x14ac:dyDescent="0.2">
      <c r="B267" s="21"/>
    </row>
    <row r="268" spans="2:2" x14ac:dyDescent="0.2">
      <c r="B268" s="21"/>
    </row>
    <row r="269" spans="2:2" x14ac:dyDescent="0.2">
      <c r="B269" s="21"/>
    </row>
    <row r="270" spans="2:2" x14ac:dyDescent="0.2">
      <c r="B270" s="21"/>
    </row>
    <row r="271" spans="2:2" x14ac:dyDescent="0.2">
      <c r="B271" s="21"/>
    </row>
    <row r="272" spans="2:2" x14ac:dyDescent="0.2">
      <c r="B272" s="21"/>
    </row>
    <row r="273" spans="2:2" x14ac:dyDescent="0.2">
      <c r="B273" s="21"/>
    </row>
    <row r="274" spans="2:2" x14ac:dyDescent="0.2">
      <c r="B274" s="21"/>
    </row>
    <row r="275" spans="2:2" x14ac:dyDescent="0.2">
      <c r="B275" s="21"/>
    </row>
    <row r="276" spans="2:2" x14ac:dyDescent="0.2">
      <c r="B276" s="21"/>
    </row>
    <row r="277" spans="2:2" x14ac:dyDescent="0.2">
      <c r="B277" s="21"/>
    </row>
    <row r="278" spans="2:2" x14ac:dyDescent="0.2">
      <c r="B278" s="21"/>
    </row>
    <row r="279" spans="2:2" x14ac:dyDescent="0.2">
      <c r="B279" s="21"/>
    </row>
    <row r="280" spans="2:2" x14ac:dyDescent="0.2">
      <c r="B280" s="21"/>
    </row>
    <row r="281" spans="2:2" x14ac:dyDescent="0.2">
      <c r="B281" s="21"/>
    </row>
    <row r="282" spans="2:2" x14ac:dyDescent="0.2">
      <c r="B282" s="21"/>
    </row>
    <row r="283" spans="2:2" x14ac:dyDescent="0.2">
      <c r="B283" s="21"/>
    </row>
    <row r="284" spans="2:2" x14ac:dyDescent="0.2">
      <c r="B284" s="21"/>
    </row>
    <row r="285" spans="2:2" x14ac:dyDescent="0.2">
      <c r="B285" s="21"/>
    </row>
    <row r="286" spans="2:2" x14ac:dyDescent="0.2">
      <c r="B286" s="21"/>
    </row>
    <row r="287" spans="2:2" x14ac:dyDescent="0.2">
      <c r="B287" s="21"/>
    </row>
    <row r="288" spans="2:2" x14ac:dyDescent="0.2">
      <c r="B288" s="21"/>
    </row>
    <row r="289" spans="2:2" x14ac:dyDescent="0.2">
      <c r="B289" s="21"/>
    </row>
    <row r="290" spans="2:2" x14ac:dyDescent="0.2">
      <c r="B290" s="21"/>
    </row>
    <row r="291" spans="2:2" x14ac:dyDescent="0.2">
      <c r="B291" s="21"/>
    </row>
    <row r="292" spans="2:2" x14ac:dyDescent="0.2">
      <c r="B292" s="21"/>
    </row>
    <row r="293" spans="2:2" x14ac:dyDescent="0.2">
      <c r="B293" s="21"/>
    </row>
    <row r="294" spans="2:2" x14ac:dyDescent="0.2">
      <c r="B294" s="21"/>
    </row>
    <row r="295" spans="2:2" x14ac:dyDescent="0.2">
      <c r="B295" s="21"/>
    </row>
    <row r="296" spans="2:2" x14ac:dyDescent="0.2">
      <c r="B296" s="21"/>
    </row>
    <row r="297" spans="2:2" x14ac:dyDescent="0.2">
      <c r="B297" s="21"/>
    </row>
    <row r="298" spans="2:2" x14ac:dyDescent="0.2">
      <c r="B298" s="21"/>
    </row>
    <row r="299" spans="2:2" x14ac:dyDescent="0.2">
      <c r="B299" s="21"/>
    </row>
    <row r="300" spans="2:2" x14ac:dyDescent="0.2">
      <c r="B300" s="21"/>
    </row>
    <row r="301" spans="2:2" x14ac:dyDescent="0.2">
      <c r="B301" s="21"/>
    </row>
    <row r="302" spans="2:2" x14ac:dyDescent="0.2">
      <c r="B302" s="21"/>
    </row>
    <row r="303" spans="2:2" x14ac:dyDescent="0.2">
      <c r="B303" s="21"/>
    </row>
    <row r="304" spans="2:2" x14ac:dyDescent="0.2">
      <c r="B304" s="21"/>
    </row>
    <row r="305" spans="2:2" x14ac:dyDescent="0.2">
      <c r="B305" s="21"/>
    </row>
    <row r="306" spans="2:2" x14ac:dyDescent="0.2">
      <c r="B306" s="21"/>
    </row>
    <row r="307" spans="2:2" x14ac:dyDescent="0.2">
      <c r="B307" s="21"/>
    </row>
    <row r="308" spans="2:2" x14ac:dyDescent="0.2">
      <c r="B308" s="21"/>
    </row>
    <row r="309" spans="2:2" x14ac:dyDescent="0.2">
      <c r="B309" s="21"/>
    </row>
    <row r="310" spans="2:2" x14ac:dyDescent="0.2">
      <c r="B310" s="21"/>
    </row>
    <row r="311" spans="2:2" x14ac:dyDescent="0.2">
      <c r="B311" s="21"/>
    </row>
    <row r="312" spans="2:2" x14ac:dyDescent="0.2">
      <c r="B312" s="21"/>
    </row>
    <row r="313" spans="2:2" x14ac:dyDescent="0.2">
      <c r="B313" s="21"/>
    </row>
    <row r="314" spans="2:2" x14ac:dyDescent="0.2">
      <c r="B314" s="21"/>
    </row>
    <row r="315" spans="2:2" x14ac:dyDescent="0.2">
      <c r="B315" s="21"/>
    </row>
    <row r="316" spans="2:2" x14ac:dyDescent="0.2">
      <c r="B316" s="21"/>
    </row>
    <row r="317" spans="2:2" x14ac:dyDescent="0.2">
      <c r="B317" s="21"/>
    </row>
    <row r="318" spans="2:2" x14ac:dyDescent="0.2">
      <c r="B318" s="21"/>
    </row>
    <row r="319" spans="2:2" x14ac:dyDescent="0.2">
      <c r="B319" s="21"/>
    </row>
    <row r="320" spans="2:2" x14ac:dyDescent="0.2">
      <c r="B320" s="21"/>
    </row>
    <row r="321" spans="2:2" x14ac:dyDescent="0.2">
      <c r="B321" s="21"/>
    </row>
    <row r="322" spans="2:2" x14ac:dyDescent="0.2">
      <c r="B322" s="21"/>
    </row>
    <row r="323" spans="2:2" x14ac:dyDescent="0.2">
      <c r="B323" s="21"/>
    </row>
    <row r="324" spans="2:2" x14ac:dyDescent="0.2">
      <c r="B324" s="21"/>
    </row>
    <row r="325" spans="2:2" x14ac:dyDescent="0.2">
      <c r="B325" s="21"/>
    </row>
    <row r="326" spans="2:2" x14ac:dyDescent="0.2">
      <c r="B326" s="21"/>
    </row>
    <row r="327" spans="2:2" x14ac:dyDescent="0.2">
      <c r="B327" s="21"/>
    </row>
    <row r="328" spans="2:2" x14ac:dyDescent="0.2">
      <c r="B328" s="21"/>
    </row>
    <row r="329" spans="2:2" x14ac:dyDescent="0.2">
      <c r="B329" s="21"/>
    </row>
    <row r="330" spans="2:2" x14ac:dyDescent="0.2">
      <c r="B330" s="21"/>
    </row>
    <row r="331" spans="2:2" x14ac:dyDescent="0.2">
      <c r="B331" s="21"/>
    </row>
    <row r="332" spans="2:2" x14ac:dyDescent="0.2">
      <c r="B332" s="21"/>
    </row>
    <row r="333" spans="2:2" x14ac:dyDescent="0.2">
      <c r="B333" s="21"/>
    </row>
    <row r="334" spans="2:2" x14ac:dyDescent="0.2">
      <c r="B334" s="21"/>
    </row>
    <row r="335" spans="2:2" x14ac:dyDescent="0.2">
      <c r="B335" s="21"/>
    </row>
    <row r="336" spans="2:2" x14ac:dyDescent="0.2">
      <c r="B336" s="21"/>
    </row>
    <row r="337" spans="2:2" x14ac:dyDescent="0.2">
      <c r="B337" s="21"/>
    </row>
    <row r="338" spans="2:2" x14ac:dyDescent="0.2">
      <c r="B338" s="21"/>
    </row>
    <row r="339" spans="2:2" x14ac:dyDescent="0.2">
      <c r="B339" s="21"/>
    </row>
    <row r="340" spans="2:2" x14ac:dyDescent="0.2">
      <c r="B340" s="21"/>
    </row>
    <row r="341" spans="2:2" x14ac:dyDescent="0.2">
      <c r="B341" s="21"/>
    </row>
    <row r="342" spans="2:2" x14ac:dyDescent="0.2">
      <c r="B342" s="21"/>
    </row>
    <row r="343" spans="2:2" x14ac:dyDescent="0.2">
      <c r="B343" s="21"/>
    </row>
    <row r="344" spans="2:2" x14ac:dyDescent="0.2">
      <c r="B344" s="21"/>
    </row>
    <row r="345" spans="2:2" x14ac:dyDescent="0.2">
      <c r="B345" s="21"/>
    </row>
    <row r="346" spans="2:2" x14ac:dyDescent="0.2">
      <c r="B346" s="21"/>
    </row>
    <row r="347" spans="2:2" x14ac:dyDescent="0.2">
      <c r="B347" s="21"/>
    </row>
    <row r="348" spans="2:2" x14ac:dyDescent="0.2">
      <c r="B348" s="21"/>
    </row>
    <row r="349" spans="2:2" x14ac:dyDescent="0.2">
      <c r="B349" s="21"/>
    </row>
    <row r="350" spans="2:2" x14ac:dyDescent="0.2">
      <c r="B350" s="21"/>
    </row>
    <row r="351" spans="2:2" x14ac:dyDescent="0.2">
      <c r="B351" s="21"/>
    </row>
    <row r="352" spans="2:2" x14ac:dyDescent="0.2">
      <c r="B352" s="21"/>
    </row>
    <row r="353" spans="2:2" x14ac:dyDescent="0.2">
      <c r="B353" s="21"/>
    </row>
    <row r="354" spans="2:2" x14ac:dyDescent="0.2">
      <c r="B354" s="21"/>
    </row>
    <row r="355" spans="2:2" x14ac:dyDescent="0.2">
      <c r="B355" s="21"/>
    </row>
    <row r="356" spans="2:2" x14ac:dyDescent="0.2">
      <c r="B356" s="21"/>
    </row>
    <row r="357" spans="2:2" x14ac:dyDescent="0.2">
      <c r="B357" s="21"/>
    </row>
    <row r="358" spans="2:2" x14ac:dyDescent="0.2">
      <c r="B358" s="21"/>
    </row>
    <row r="359" spans="2:2" x14ac:dyDescent="0.2">
      <c r="B359" s="21"/>
    </row>
    <row r="360" spans="2:2" x14ac:dyDescent="0.2">
      <c r="B360" s="21"/>
    </row>
    <row r="361" spans="2:2" x14ac:dyDescent="0.2">
      <c r="B361" s="21"/>
    </row>
    <row r="362" spans="2:2" x14ac:dyDescent="0.2">
      <c r="B362" s="21"/>
    </row>
    <row r="363" spans="2:2" x14ac:dyDescent="0.2">
      <c r="B363" s="21"/>
    </row>
    <row r="364" spans="2:2" x14ac:dyDescent="0.2">
      <c r="B364" s="21"/>
    </row>
    <row r="365" spans="2:2" x14ac:dyDescent="0.2">
      <c r="B365" s="21"/>
    </row>
    <row r="366" spans="2:2" x14ac:dyDescent="0.2">
      <c r="B366" s="21"/>
    </row>
    <row r="367" spans="2:2" x14ac:dyDescent="0.2">
      <c r="B367" s="21"/>
    </row>
    <row r="368" spans="2:2" x14ac:dyDescent="0.2">
      <c r="B368" s="21"/>
    </row>
    <row r="369" spans="2:2" x14ac:dyDescent="0.2">
      <c r="B369" s="21"/>
    </row>
    <row r="370" spans="2:2" x14ac:dyDescent="0.2">
      <c r="B370" s="21"/>
    </row>
    <row r="371" spans="2:2" x14ac:dyDescent="0.2">
      <c r="B371" s="21"/>
    </row>
    <row r="372" spans="2:2" x14ac:dyDescent="0.2">
      <c r="B372" s="21"/>
    </row>
    <row r="373" spans="2:2" x14ac:dyDescent="0.2">
      <c r="B373" s="21"/>
    </row>
    <row r="374" spans="2:2" x14ac:dyDescent="0.2">
      <c r="B374" s="21"/>
    </row>
    <row r="375" spans="2:2" x14ac:dyDescent="0.2">
      <c r="B375" s="21"/>
    </row>
    <row r="376" spans="2:2" x14ac:dyDescent="0.2">
      <c r="B376" s="21"/>
    </row>
    <row r="377" spans="2:2" x14ac:dyDescent="0.2">
      <c r="B377" s="21"/>
    </row>
    <row r="378" spans="2:2" x14ac:dyDescent="0.2">
      <c r="B378" s="21"/>
    </row>
    <row r="379" spans="2:2" x14ac:dyDescent="0.2">
      <c r="B379" s="21"/>
    </row>
    <row r="380" spans="2:2" x14ac:dyDescent="0.2">
      <c r="B380" s="21"/>
    </row>
    <row r="381" spans="2:2" x14ac:dyDescent="0.2">
      <c r="B381" s="21"/>
    </row>
    <row r="382" spans="2:2" x14ac:dyDescent="0.2">
      <c r="B382" s="21"/>
    </row>
    <row r="383" spans="2:2" x14ac:dyDescent="0.2">
      <c r="B383" s="21"/>
    </row>
    <row r="384" spans="2:2" x14ac:dyDescent="0.2">
      <c r="B384" s="21"/>
    </row>
    <row r="385" spans="2:2" x14ac:dyDescent="0.2">
      <c r="B385" s="21"/>
    </row>
    <row r="386" spans="2:2" x14ac:dyDescent="0.2">
      <c r="B386" s="21"/>
    </row>
    <row r="387" spans="2:2" x14ac:dyDescent="0.2">
      <c r="B387" s="21"/>
    </row>
    <row r="388" spans="2:2" x14ac:dyDescent="0.2">
      <c r="B388" s="21"/>
    </row>
    <row r="389" spans="2:2" x14ac:dyDescent="0.2">
      <c r="B389" s="21"/>
    </row>
    <row r="390" spans="2:2" x14ac:dyDescent="0.2">
      <c r="B390" s="21"/>
    </row>
    <row r="391" spans="2:2" x14ac:dyDescent="0.2">
      <c r="B391" s="21"/>
    </row>
    <row r="392" spans="2:2" x14ac:dyDescent="0.2">
      <c r="B392" s="21"/>
    </row>
    <row r="393" spans="2:2" x14ac:dyDescent="0.2">
      <c r="B393" s="21"/>
    </row>
    <row r="394" spans="2:2" x14ac:dyDescent="0.2">
      <c r="B394" s="21"/>
    </row>
    <row r="395" spans="2:2" x14ac:dyDescent="0.2">
      <c r="B395" s="21"/>
    </row>
    <row r="396" spans="2:2" x14ac:dyDescent="0.2">
      <c r="B396" s="21"/>
    </row>
    <row r="397" spans="2:2" x14ac:dyDescent="0.2">
      <c r="B397" s="21"/>
    </row>
    <row r="398" spans="2:2" x14ac:dyDescent="0.2">
      <c r="B398" s="21"/>
    </row>
    <row r="399" spans="2:2" x14ac:dyDescent="0.2">
      <c r="B399" s="21"/>
    </row>
    <row r="400" spans="2:2" x14ac:dyDescent="0.2">
      <c r="B400" s="21"/>
    </row>
    <row r="401" spans="2:2" x14ac:dyDescent="0.2">
      <c r="B401" s="21"/>
    </row>
    <row r="402" spans="2:2" x14ac:dyDescent="0.2">
      <c r="B402" s="21"/>
    </row>
    <row r="403" spans="2:2" x14ac:dyDescent="0.2">
      <c r="B403" s="21"/>
    </row>
    <row r="404" spans="2:2" x14ac:dyDescent="0.2">
      <c r="B404" s="21"/>
    </row>
    <row r="405" spans="2:2" x14ac:dyDescent="0.2">
      <c r="B405" s="21"/>
    </row>
    <row r="406" spans="2:2" x14ac:dyDescent="0.2">
      <c r="B406" s="21"/>
    </row>
    <row r="407" spans="2:2" x14ac:dyDescent="0.2">
      <c r="B407" s="21"/>
    </row>
    <row r="408" spans="2:2" x14ac:dyDescent="0.2">
      <c r="B408" s="21"/>
    </row>
    <row r="409" spans="2:2" x14ac:dyDescent="0.2">
      <c r="B409" s="21"/>
    </row>
    <row r="410" spans="2:2" x14ac:dyDescent="0.2">
      <c r="B410" s="21"/>
    </row>
    <row r="411" spans="2:2" x14ac:dyDescent="0.2">
      <c r="B411" s="21"/>
    </row>
    <row r="412" spans="2:2" x14ac:dyDescent="0.2">
      <c r="B412" s="21"/>
    </row>
    <row r="413" spans="2:2" x14ac:dyDescent="0.2">
      <c r="B413" s="21"/>
    </row>
    <row r="414" spans="2:2" x14ac:dyDescent="0.2">
      <c r="B414" s="21"/>
    </row>
    <row r="415" spans="2:2" x14ac:dyDescent="0.2">
      <c r="B415" s="21"/>
    </row>
    <row r="416" spans="2:2" x14ac:dyDescent="0.2">
      <c r="B416" s="21"/>
    </row>
    <row r="417" spans="2:2" x14ac:dyDescent="0.2">
      <c r="B417" s="21"/>
    </row>
    <row r="418" spans="2:2" x14ac:dyDescent="0.2">
      <c r="B418" s="21"/>
    </row>
    <row r="419" spans="2:2" x14ac:dyDescent="0.2">
      <c r="B419" s="21"/>
    </row>
    <row r="420" spans="2:2" x14ac:dyDescent="0.2">
      <c r="B420" s="21"/>
    </row>
    <row r="421" spans="2:2" x14ac:dyDescent="0.2">
      <c r="B421" s="21"/>
    </row>
    <row r="422" spans="2:2" x14ac:dyDescent="0.2">
      <c r="B422" s="21"/>
    </row>
    <row r="423" spans="2:2" x14ac:dyDescent="0.2">
      <c r="B423" s="21"/>
    </row>
    <row r="424" spans="2:2" x14ac:dyDescent="0.2">
      <c r="B424" s="21"/>
    </row>
    <row r="425" spans="2:2" x14ac:dyDescent="0.2">
      <c r="B425" s="21"/>
    </row>
    <row r="426" spans="2:2" x14ac:dyDescent="0.2">
      <c r="B426" s="21"/>
    </row>
    <row r="427" spans="2:2" x14ac:dyDescent="0.2">
      <c r="B427" s="21"/>
    </row>
    <row r="428" spans="2:2" x14ac:dyDescent="0.2">
      <c r="B428" s="21"/>
    </row>
    <row r="429" spans="2:2" x14ac:dyDescent="0.2">
      <c r="B429" s="21"/>
    </row>
    <row r="430" spans="2:2" x14ac:dyDescent="0.2">
      <c r="B430" s="21"/>
    </row>
    <row r="431" spans="2:2" x14ac:dyDescent="0.2">
      <c r="B431" s="21"/>
    </row>
    <row r="432" spans="2:2" x14ac:dyDescent="0.2">
      <c r="B432" s="21"/>
    </row>
    <row r="433" spans="2:2" x14ac:dyDescent="0.2">
      <c r="B433" s="21"/>
    </row>
    <row r="434" spans="2:2" x14ac:dyDescent="0.2">
      <c r="B434" s="21"/>
    </row>
    <row r="435" spans="2:2" x14ac:dyDescent="0.2">
      <c r="B435" s="21"/>
    </row>
    <row r="436" spans="2:2" x14ac:dyDescent="0.2">
      <c r="B436" s="21"/>
    </row>
    <row r="437" spans="2:2" x14ac:dyDescent="0.2">
      <c r="B437" s="21"/>
    </row>
    <row r="438" spans="2:2" x14ac:dyDescent="0.2">
      <c r="B438" s="21"/>
    </row>
    <row r="439" spans="2:2" x14ac:dyDescent="0.2">
      <c r="B439" s="21"/>
    </row>
    <row r="440" spans="2:2" x14ac:dyDescent="0.2">
      <c r="B440" s="21"/>
    </row>
    <row r="441" spans="2:2" x14ac:dyDescent="0.2">
      <c r="B441" s="21"/>
    </row>
    <row r="442" spans="2:2" x14ac:dyDescent="0.2">
      <c r="B442" s="21"/>
    </row>
    <row r="443" spans="2:2" x14ac:dyDescent="0.2">
      <c r="B443" s="21"/>
    </row>
    <row r="444" spans="2:2" x14ac:dyDescent="0.2">
      <c r="B444" s="21"/>
    </row>
    <row r="445" spans="2:2" x14ac:dyDescent="0.2">
      <c r="B445" s="21"/>
    </row>
    <row r="446" spans="2:2" x14ac:dyDescent="0.2">
      <c r="B446" s="21"/>
    </row>
    <row r="447" spans="2:2" x14ac:dyDescent="0.2">
      <c r="B447" s="21"/>
    </row>
    <row r="448" spans="2:2" x14ac:dyDescent="0.2">
      <c r="B448" s="21"/>
    </row>
    <row r="449" spans="2:2" x14ac:dyDescent="0.2">
      <c r="B449" s="21"/>
    </row>
    <row r="450" spans="2:2" x14ac:dyDescent="0.2">
      <c r="B450" s="21"/>
    </row>
    <row r="451" spans="2:2" x14ac:dyDescent="0.2">
      <c r="B451" s="21"/>
    </row>
    <row r="452" spans="2:2" x14ac:dyDescent="0.2">
      <c r="B452" s="21"/>
    </row>
    <row r="453" spans="2:2" x14ac:dyDescent="0.2">
      <c r="B453" s="21"/>
    </row>
    <row r="454" spans="2:2" x14ac:dyDescent="0.2">
      <c r="B454" s="21"/>
    </row>
    <row r="455" spans="2:2" x14ac:dyDescent="0.2">
      <c r="B455" s="21"/>
    </row>
    <row r="456" spans="2:2" x14ac:dyDescent="0.2">
      <c r="B456" s="21"/>
    </row>
    <row r="457" spans="2:2" x14ac:dyDescent="0.2">
      <c r="B457" s="21"/>
    </row>
    <row r="458" spans="2:2" x14ac:dyDescent="0.2">
      <c r="B458" s="21"/>
    </row>
    <row r="459" spans="2:2" x14ac:dyDescent="0.2">
      <c r="B459" s="21"/>
    </row>
    <row r="460" spans="2:2" x14ac:dyDescent="0.2">
      <c r="B460" s="21"/>
    </row>
    <row r="461" spans="2:2" x14ac:dyDescent="0.2">
      <c r="B461" s="21"/>
    </row>
    <row r="462" spans="2:2" x14ac:dyDescent="0.2">
      <c r="B462" s="21"/>
    </row>
    <row r="463" spans="2:2" x14ac:dyDescent="0.2">
      <c r="B463" s="21"/>
    </row>
    <row r="464" spans="2:2" x14ac:dyDescent="0.2">
      <c r="B464" s="21"/>
    </row>
    <row r="465" spans="2:2" x14ac:dyDescent="0.2">
      <c r="B465" s="21"/>
    </row>
    <row r="466" spans="2:2" x14ac:dyDescent="0.2">
      <c r="B466" s="21"/>
    </row>
    <row r="467" spans="2:2" x14ac:dyDescent="0.2">
      <c r="B467" s="21"/>
    </row>
    <row r="468" spans="2:2" x14ac:dyDescent="0.2">
      <c r="B468" s="21"/>
    </row>
    <row r="469" spans="2:2" x14ac:dyDescent="0.2">
      <c r="B469" s="21"/>
    </row>
    <row r="470" spans="2:2" x14ac:dyDescent="0.2">
      <c r="B470" s="21"/>
    </row>
    <row r="471" spans="2:2" x14ac:dyDescent="0.2">
      <c r="B471" s="21"/>
    </row>
    <row r="472" spans="2:2" x14ac:dyDescent="0.2">
      <c r="B472" s="21"/>
    </row>
    <row r="473" spans="2:2" x14ac:dyDescent="0.2">
      <c r="B473" s="21"/>
    </row>
    <row r="474" spans="2:2" x14ac:dyDescent="0.2">
      <c r="B474" s="21"/>
    </row>
    <row r="475" spans="2:2" x14ac:dyDescent="0.2">
      <c r="B475" s="21"/>
    </row>
    <row r="476" spans="2:2" x14ac:dyDescent="0.2">
      <c r="B476" s="21"/>
    </row>
    <row r="477" spans="2:2" x14ac:dyDescent="0.2">
      <c r="B477" s="21"/>
    </row>
    <row r="478" spans="2:2" x14ac:dyDescent="0.2">
      <c r="B478" s="21"/>
    </row>
    <row r="479" spans="2:2" x14ac:dyDescent="0.2">
      <c r="B479" s="21"/>
    </row>
    <row r="480" spans="2:2" x14ac:dyDescent="0.2">
      <c r="B480" s="21"/>
    </row>
    <row r="481" spans="2:2" x14ac:dyDescent="0.2">
      <c r="B481" s="21"/>
    </row>
    <row r="482" spans="2:2" x14ac:dyDescent="0.2">
      <c r="B482" s="21"/>
    </row>
    <row r="483" spans="2:2" x14ac:dyDescent="0.2">
      <c r="B483" s="21"/>
    </row>
    <row r="484" spans="2:2" x14ac:dyDescent="0.2">
      <c r="B484" s="21"/>
    </row>
    <row r="485" spans="2:2" x14ac:dyDescent="0.2">
      <c r="B485" s="21"/>
    </row>
    <row r="486" spans="2:2" x14ac:dyDescent="0.2">
      <c r="B486" s="21"/>
    </row>
    <row r="487" spans="2:2" x14ac:dyDescent="0.2">
      <c r="B487" s="21"/>
    </row>
    <row r="488" spans="2:2" x14ac:dyDescent="0.2">
      <c r="B488" s="21"/>
    </row>
    <row r="489" spans="2:2" x14ac:dyDescent="0.2">
      <c r="B489" s="21"/>
    </row>
    <row r="490" spans="2:2" x14ac:dyDescent="0.2">
      <c r="B490" s="21"/>
    </row>
    <row r="491" spans="2:2" x14ac:dyDescent="0.2">
      <c r="B491" s="21"/>
    </row>
    <row r="492" spans="2:2" x14ac:dyDescent="0.2">
      <c r="B492" s="21"/>
    </row>
    <row r="493" spans="2:2" x14ac:dyDescent="0.2">
      <c r="B493" s="21"/>
    </row>
    <row r="494" spans="2:2" x14ac:dyDescent="0.2">
      <c r="B494" s="21"/>
    </row>
    <row r="495" spans="2:2" x14ac:dyDescent="0.2">
      <c r="B495" s="21"/>
    </row>
    <row r="496" spans="2:2" x14ac:dyDescent="0.2">
      <c r="B496" s="21"/>
    </row>
    <row r="497" spans="2:2" x14ac:dyDescent="0.2">
      <c r="B497" s="21"/>
    </row>
    <row r="498" spans="2:2" x14ac:dyDescent="0.2">
      <c r="B498" s="21"/>
    </row>
    <row r="499" spans="2:2" x14ac:dyDescent="0.2">
      <c r="B499" s="21"/>
    </row>
    <row r="500" spans="2:2" x14ac:dyDescent="0.2">
      <c r="B500" s="21"/>
    </row>
    <row r="501" spans="2:2" x14ac:dyDescent="0.2">
      <c r="B501" s="22"/>
    </row>
    <row r="502" spans="2:2" x14ac:dyDescent="0.2">
      <c r="B502" s="22"/>
    </row>
    <row r="503" spans="2:2" x14ac:dyDescent="0.2">
      <c r="B503" s="22"/>
    </row>
    <row r="504" spans="2:2" x14ac:dyDescent="0.2">
      <c r="B504" s="22"/>
    </row>
    <row r="505" spans="2:2" x14ac:dyDescent="0.2">
      <c r="B505" s="22"/>
    </row>
    <row r="506" spans="2:2" x14ac:dyDescent="0.2">
      <c r="B506" s="22"/>
    </row>
    <row r="507" spans="2:2" x14ac:dyDescent="0.2">
      <c r="B507" s="22"/>
    </row>
    <row r="508" spans="2:2" x14ac:dyDescent="0.2">
      <c r="B508" s="22"/>
    </row>
    <row r="509" spans="2:2" x14ac:dyDescent="0.2">
      <c r="B509" s="22"/>
    </row>
    <row r="510" spans="2:2" x14ac:dyDescent="0.2">
      <c r="B510" s="22"/>
    </row>
    <row r="511" spans="2:2" x14ac:dyDescent="0.2">
      <c r="B511" s="22"/>
    </row>
    <row r="512" spans="2:2" x14ac:dyDescent="0.2">
      <c r="B512" s="22"/>
    </row>
    <row r="513" spans="2:2" x14ac:dyDescent="0.2">
      <c r="B513" s="22"/>
    </row>
    <row r="514" spans="2:2" x14ac:dyDescent="0.2">
      <c r="B514" s="22"/>
    </row>
    <row r="515" spans="2:2" x14ac:dyDescent="0.2">
      <c r="B515" s="22"/>
    </row>
    <row r="516" spans="2:2" x14ac:dyDescent="0.2">
      <c r="B516" s="22"/>
    </row>
    <row r="517" spans="2:2" x14ac:dyDescent="0.2">
      <c r="B517" s="22"/>
    </row>
    <row r="518" spans="2:2" x14ac:dyDescent="0.2">
      <c r="B518" s="22"/>
    </row>
    <row r="519" spans="2:2" x14ac:dyDescent="0.2">
      <c r="B519" s="22"/>
    </row>
    <row r="520" spans="2:2" x14ac:dyDescent="0.2">
      <c r="B520" s="22"/>
    </row>
    <row r="521" spans="2:2" x14ac:dyDescent="0.2">
      <c r="B521" s="22"/>
    </row>
    <row r="522" spans="2:2" x14ac:dyDescent="0.2">
      <c r="B522" s="22"/>
    </row>
  </sheetData>
  <mergeCells count="5">
    <mergeCell ref="B2:K2"/>
    <mergeCell ref="J11:K11"/>
    <mergeCell ref="J12:K12"/>
    <mergeCell ref="H7:I7"/>
    <mergeCell ref="J4:L4"/>
  </mergeCells>
  <phoneticPr fontId="3" type="noConversion"/>
  <dataValidations count="2">
    <dataValidation showInputMessage="1" showErrorMessage="1" errorTitle="ERROR" error="UD. INGRESO UN VALOR NO PERMITIDO_x000a_" promptTitle="ADVERTENCIA DE INGRESO DE ..." prompt="INGRESE UN VALOR ENTRE 1 Y 100" sqref="F5"/>
    <dataValidation type="list" allowBlank="1" showInputMessage="1" showErrorMessage="1" errorTitle="MENSAJE DE ERROR" error="Por favor borrar el_x000a_dato y hacer clic en_x000a_el botón de la_x000a_ventana desplegable_x000a_para seleccionar un aopción." promptTitle="MENSAJE DE SELECCIÓN" prompt="Hacer clic en el botón _x000a_de la ventana desplegable_x000a_y seleccionar una opción." sqref="H5">
      <formula1>$F$6:$F$7</formula1>
    </dataValidation>
  </dataValidations>
  <pageMargins left="0.75" right="0.75" top="1" bottom="1" header="0" footer="0"/>
  <pageSetup paperSize="9" scale="90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3" r:id="rId4" name="CmdResulDifMedias">
          <controlPr defaultSize="0" autoLine="0" r:id="rId5">
            <anchor moveWithCells="1">
              <from>
                <xdr:col>12</xdr:col>
                <xdr:colOff>47625</xdr:colOff>
                <xdr:row>8</xdr:row>
                <xdr:rowOff>9525</xdr:rowOff>
              </from>
              <to>
                <xdr:col>14</xdr:col>
                <xdr:colOff>19050</xdr:colOff>
                <xdr:row>11</xdr:row>
                <xdr:rowOff>47625</xdr:rowOff>
              </to>
            </anchor>
          </controlPr>
        </control>
      </mc:Choice>
      <mc:Fallback>
        <control shapeId="5123" r:id="rId4" name="CmdResulDifMedias"/>
      </mc:Fallback>
    </mc:AlternateContent>
    <mc:AlternateContent xmlns:mc="http://schemas.openxmlformats.org/markup-compatibility/2006">
      <mc:Choice Requires="x14">
        <control shapeId="5122" r:id="rId6" name="CmdVolverDifMedias">
          <controlPr defaultSize="0" autoLine="0" r:id="rId7">
            <anchor moveWithCells="1">
              <from>
                <xdr:col>12</xdr:col>
                <xdr:colOff>657225</xdr:colOff>
                <xdr:row>5</xdr:row>
                <xdr:rowOff>47625</xdr:rowOff>
              </from>
              <to>
                <xdr:col>13</xdr:col>
                <xdr:colOff>723900</xdr:colOff>
                <xdr:row>7</xdr:row>
                <xdr:rowOff>47625</xdr:rowOff>
              </to>
            </anchor>
          </controlPr>
        </control>
      </mc:Choice>
      <mc:Fallback>
        <control shapeId="5122" r:id="rId6" name="CmdVolverDifMedias"/>
      </mc:Fallback>
    </mc:AlternateContent>
    <mc:AlternateContent xmlns:mc="http://schemas.openxmlformats.org/markup-compatibility/2006">
      <mc:Choice Requires="x14">
        <control shapeId="5121" r:id="rId8" name="CmdLimpiarDifMedias">
          <controlPr defaultSize="0" autoLine="0" r:id="rId9">
            <anchor moveWithCells="1">
              <from>
                <xdr:col>12</xdr:col>
                <xdr:colOff>619125</xdr:colOff>
                <xdr:row>3</xdr:row>
                <xdr:rowOff>304800</xdr:rowOff>
              </from>
              <to>
                <xdr:col>13</xdr:col>
                <xdr:colOff>695325</xdr:colOff>
                <xdr:row>4</xdr:row>
                <xdr:rowOff>66675</xdr:rowOff>
              </to>
            </anchor>
          </controlPr>
        </control>
      </mc:Choice>
      <mc:Fallback>
        <control shapeId="5121" r:id="rId8" name="CmdLimpiarDifMedia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3"/>
  <sheetViews>
    <sheetView showGridLines="0" workbookViewId="0">
      <selection activeCell="A2" sqref="A2:F11"/>
    </sheetView>
  </sheetViews>
  <sheetFormatPr defaultColWidth="11.42578125" defaultRowHeight="12.75" x14ac:dyDescent="0.2"/>
  <cols>
    <col min="1" max="1" width="2.140625" style="140" customWidth="1"/>
    <col min="2" max="2" width="6.140625" style="140" customWidth="1"/>
    <col min="3" max="3" width="2.140625" style="140" customWidth="1"/>
    <col min="4" max="6" width="10.7109375" style="140" customWidth="1"/>
    <col min="7" max="16384" width="11.42578125" style="140"/>
  </cols>
  <sheetData>
    <row r="2" spans="1:6" ht="15" x14ac:dyDescent="0.2">
      <c r="A2" s="141" t="s">
        <v>69</v>
      </c>
    </row>
    <row r="4" spans="1:6" x14ac:dyDescent="0.2">
      <c r="D4" s="143" t="s">
        <v>70</v>
      </c>
      <c r="E4" s="144"/>
    </row>
    <row r="5" spans="1:6" ht="13.5" thickBot="1" x14ac:dyDescent="0.25">
      <c r="D5" s="145" t="s">
        <v>71</v>
      </c>
      <c r="E5" s="145" t="s">
        <v>72</v>
      </c>
      <c r="F5" s="145" t="s">
        <v>73</v>
      </c>
    </row>
    <row r="6" spans="1:6" x14ac:dyDescent="0.2">
      <c r="A6" s="142" t="s">
        <v>70</v>
      </c>
      <c r="B6" s="146" t="s">
        <v>74</v>
      </c>
      <c r="C6" s="147" t="s">
        <v>70</v>
      </c>
      <c r="D6" s="152">
        <v>29</v>
      </c>
      <c r="E6" s="154">
        <v>22</v>
      </c>
      <c r="F6" s="150">
        <v>51</v>
      </c>
    </row>
    <row r="7" spans="1:6" x14ac:dyDescent="0.2">
      <c r="B7" s="146" t="s">
        <v>75</v>
      </c>
      <c r="C7" s="147" t="s">
        <v>70</v>
      </c>
      <c r="D7" s="149">
        <v>105</v>
      </c>
      <c r="E7" s="155">
        <v>110</v>
      </c>
      <c r="F7" s="150">
        <v>215</v>
      </c>
    </row>
    <row r="8" spans="1:6" ht="13.5" thickBot="1" x14ac:dyDescent="0.25">
      <c r="B8" s="146" t="s">
        <v>76</v>
      </c>
      <c r="C8" s="147" t="s">
        <v>70</v>
      </c>
      <c r="D8" s="153">
        <v>418</v>
      </c>
      <c r="E8" s="156">
        <v>165</v>
      </c>
      <c r="F8" s="150">
        <v>583</v>
      </c>
    </row>
    <row r="9" spans="1:6" x14ac:dyDescent="0.2">
      <c r="B9" s="146" t="s">
        <v>77</v>
      </c>
      <c r="C9" s="147" t="s">
        <v>70</v>
      </c>
      <c r="D9" s="151">
        <v>552</v>
      </c>
      <c r="E9" s="151">
        <v>297</v>
      </c>
      <c r="F9" s="148">
        <v>849</v>
      </c>
    </row>
    <row r="11" spans="1:6" x14ac:dyDescent="0.2">
      <c r="D11" s="158">
        <v>37.678465141051085</v>
      </c>
      <c r="E11" s="140" t="s">
        <v>80</v>
      </c>
    </row>
    <row r="12" spans="1:6" x14ac:dyDescent="0.2">
      <c r="D12" s="140">
        <v>2</v>
      </c>
      <c r="E12" s="140" t="s">
        <v>79</v>
      </c>
    </row>
    <row r="13" spans="1:6" x14ac:dyDescent="0.2">
      <c r="D13" s="157">
        <v>6.5799902687375668E-9</v>
      </c>
      <c r="E13" s="140" t="s">
        <v>78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P512"/>
  <sheetViews>
    <sheetView topLeftCell="A15" zoomScaleNormal="100" workbookViewId="0">
      <selection activeCell="Q51" sqref="Q51"/>
    </sheetView>
  </sheetViews>
  <sheetFormatPr defaultColWidth="11.42578125" defaultRowHeight="12.75" x14ac:dyDescent="0.2"/>
  <cols>
    <col min="1" max="1" width="0.5703125" style="30" customWidth="1"/>
    <col min="2" max="2" width="11.42578125" style="29"/>
    <col min="3" max="3" width="8.7109375" style="30" customWidth="1"/>
    <col min="4" max="4" width="10.85546875" style="30" customWidth="1"/>
    <col min="5" max="5" width="9.28515625" style="30" customWidth="1"/>
    <col min="6" max="6" width="13" style="30" customWidth="1"/>
    <col min="7" max="7" width="1.85546875" style="30" customWidth="1"/>
    <col min="8" max="8" width="18.140625" style="30" customWidth="1"/>
    <col min="9" max="9" width="3" style="30" customWidth="1"/>
    <col min="10" max="10" width="14" style="30" customWidth="1"/>
    <col min="11" max="11" width="2.85546875" style="30" customWidth="1"/>
    <col min="12" max="12" width="15" style="30" customWidth="1"/>
    <col min="13" max="13" width="4.7109375" style="30" customWidth="1"/>
    <col min="14" max="14" width="9.7109375" style="30" customWidth="1"/>
    <col min="15" max="16384" width="11.42578125" style="30"/>
  </cols>
  <sheetData>
    <row r="1" spans="2:14" ht="6" customHeight="1" thickBot="1" x14ac:dyDescent="0.25"/>
    <row r="2" spans="2:14" ht="22.5" customHeight="1" thickBot="1" x14ac:dyDescent="0.25">
      <c r="B2" s="192" t="s">
        <v>42</v>
      </c>
      <c r="C2" s="193"/>
      <c r="D2" s="193"/>
      <c r="E2" s="193"/>
      <c r="F2" s="193"/>
      <c r="G2" s="193"/>
      <c r="H2" s="193"/>
      <c r="I2" s="193"/>
      <c r="J2" s="194"/>
    </row>
    <row r="3" spans="2:14" ht="6.75" customHeight="1" thickBot="1" x14ac:dyDescent="0.25"/>
    <row r="4" spans="2:14" ht="76.5" x14ac:dyDescent="0.2">
      <c r="B4" s="25" t="s">
        <v>11</v>
      </c>
      <c r="C4" s="31"/>
      <c r="D4" s="25" t="s">
        <v>12</v>
      </c>
      <c r="E4" s="32"/>
      <c r="F4" s="25" t="s">
        <v>14</v>
      </c>
      <c r="H4" s="25" t="s">
        <v>45</v>
      </c>
      <c r="I4" s="83"/>
      <c r="J4" s="25" t="s">
        <v>46</v>
      </c>
      <c r="K4" s="84"/>
      <c r="L4" s="195" t="s">
        <v>37</v>
      </c>
      <c r="M4" s="196"/>
      <c r="N4" s="197"/>
    </row>
    <row r="5" spans="2:14" x14ac:dyDescent="0.2">
      <c r="B5" s="41">
        <v>49</v>
      </c>
      <c r="D5" s="41">
        <v>115</v>
      </c>
      <c r="F5" s="42">
        <v>0.05</v>
      </c>
      <c r="H5" s="44">
        <v>0.5</v>
      </c>
      <c r="I5" s="35"/>
      <c r="J5" s="44" t="s">
        <v>33</v>
      </c>
      <c r="L5" s="78" t="s">
        <v>48</v>
      </c>
      <c r="M5" s="87" t="s">
        <v>40</v>
      </c>
      <c r="N5" s="75">
        <f>H5</f>
        <v>0.5</v>
      </c>
    </row>
    <row r="6" spans="2:14" ht="13.5" thickBot="1" x14ac:dyDescent="0.25">
      <c r="B6" s="34"/>
      <c r="H6" s="33"/>
      <c r="I6" s="35"/>
      <c r="L6" s="79" t="s">
        <v>49</v>
      </c>
      <c r="M6" s="76" t="str">
        <f>IF(J5="Mayor que","&gt;","&lt;")</f>
        <v>&lt;</v>
      </c>
      <c r="N6" s="77">
        <f>H5</f>
        <v>0.5</v>
      </c>
    </row>
    <row r="7" spans="2:14" ht="15" x14ac:dyDescent="0.2">
      <c r="B7" s="85" t="s">
        <v>32</v>
      </c>
      <c r="D7" s="198" t="s">
        <v>1</v>
      </c>
      <c r="E7" s="198"/>
      <c r="F7" s="198"/>
      <c r="G7" s="198"/>
    </row>
    <row r="8" spans="2:14" x14ac:dyDescent="0.2">
      <c r="B8" s="85" t="s">
        <v>33</v>
      </c>
      <c r="F8" s="33" t="s">
        <v>47</v>
      </c>
      <c r="G8" s="88"/>
      <c r="H8" s="35">
        <f>B5/D5</f>
        <v>0.42608695652173911</v>
      </c>
    </row>
    <row r="9" spans="2:14" x14ac:dyDescent="0.2">
      <c r="B9" s="34"/>
      <c r="F9" s="33" t="s">
        <v>21</v>
      </c>
      <c r="H9" s="97">
        <f>IF(J5="Mayor que",NORMSINV(1-F5),NORMSINV(F5))</f>
        <v>-1.6448536269514726</v>
      </c>
    </row>
    <row r="10" spans="2:14" x14ac:dyDescent="0.2">
      <c r="B10" s="34"/>
      <c r="H10" s="37"/>
      <c r="I10" s="36"/>
      <c r="J10" s="36"/>
    </row>
    <row r="11" spans="2:14" ht="15.75" x14ac:dyDescent="0.25">
      <c r="B11" s="69" t="s">
        <v>35</v>
      </c>
      <c r="C11" s="70"/>
      <c r="D11" s="70"/>
      <c r="E11" s="70"/>
      <c r="F11" s="70"/>
      <c r="G11" s="178" t="str">
        <f>J5</f>
        <v>Menor que</v>
      </c>
      <c r="H11" s="179"/>
      <c r="I11" s="38"/>
      <c r="J11" s="36"/>
    </row>
    <row r="12" spans="2:14" x14ac:dyDescent="0.2">
      <c r="B12" s="30"/>
      <c r="I12" s="37"/>
      <c r="J12" s="36"/>
    </row>
    <row r="13" spans="2:14" x14ac:dyDescent="0.2">
      <c r="B13" s="90" t="s">
        <v>24</v>
      </c>
      <c r="C13" s="38"/>
      <c r="E13" s="96">
        <f>(H8-H5)/SQRT(H5*(1-H5)/D5)</f>
        <v>-1.5852581740085336</v>
      </c>
      <c r="F13" s="37"/>
    </row>
    <row r="14" spans="2:14" x14ac:dyDescent="0.2">
      <c r="B14" s="91" t="s">
        <v>36</v>
      </c>
      <c r="C14" s="92">
        <f>$E$13</f>
        <v>-1.5852581740085336</v>
      </c>
      <c r="D14" s="93" t="str">
        <f>IF($J$5="Mayor que","&lt;","&gt;")</f>
        <v>&gt;</v>
      </c>
      <c r="E14" s="91" t="s">
        <v>27</v>
      </c>
      <c r="F14" s="94">
        <f>$H$9</f>
        <v>-1.6448536269514726</v>
      </c>
      <c r="G14" s="91" t="s">
        <v>25</v>
      </c>
      <c r="H14" s="91"/>
    </row>
    <row r="15" spans="2:14" x14ac:dyDescent="0.2">
      <c r="B15" s="91" t="s">
        <v>36</v>
      </c>
      <c r="C15" s="92">
        <f>$E$13</f>
        <v>-1.5852581740085336</v>
      </c>
      <c r="D15" s="93" t="str">
        <f>IF($J$5="Mayor que","&gt;","&lt;")</f>
        <v>&lt;</v>
      </c>
      <c r="E15" s="91" t="s">
        <v>27</v>
      </c>
      <c r="F15" s="94">
        <f>$H$9</f>
        <v>-1.6448536269514726</v>
      </c>
      <c r="G15" s="91" t="s">
        <v>26</v>
      </c>
      <c r="H15" s="91"/>
    </row>
    <row r="16" spans="2:14" x14ac:dyDescent="0.2">
      <c r="B16" s="30"/>
    </row>
    <row r="17" spans="2:8" ht="15.75" x14ac:dyDescent="0.25">
      <c r="B17" s="69" t="s">
        <v>35</v>
      </c>
      <c r="C17" s="70"/>
      <c r="D17" s="70"/>
      <c r="E17" s="70"/>
      <c r="F17" s="70"/>
      <c r="G17" s="178" t="s">
        <v>34</v>
      </c>
      <c r="H17" s="179"/>
    </row>
    <row r="18" spans="2:8" ht="15.75" x14ac:dyDescent="0.25">
      <c r="B18" s="89"/>
    </row>
    <row r="19" spans="2:8" x14ac:dyDescent="0.2">
      <c r="B19" s="90" t="s">
        <v>24</v>
      </c>
      <c r="C19" s="38"/>
      <c r="E19" s="96">
        <f>E13</f>
        <v>-1.5852581740085336</v>
      </c>
      <c r="F19" s="37"/>
    </row>
    <row r="20" spans="2:8" x14ac:dyDescent="0.2">
      <c r="B20" s="91" t="s">
        <v>36</v>
      </c>
      <c r="C20" s="92">
        <f>$E$13</f>
        <v>-1.5852581740085336</v>
      </c>
      <c r="D20" s="93" t="str">
        <f>IF($J$5="Mayor que","&lt;","&gt;")</f>
        <v>&gt;</v>
      </c>
      <c r="E20" s="91" t="s">
        <v>27</v>
      </c>
      <c r="F20" s="94">
        <f>IF($J$5="Mayor que",NORMSINV(1-$F$5/2),NORMSINV($F$5/2))</f>
        <v>-1.9599639845400538</v>
      </c>
      <c r="G20" s="91" t="s">
        <v>25</v>
      </c>
      <c r="H20" s="91"/>
    </row>
    <row r="21" spans="2:8" x14ac:dyDescent="0.2">
      <c r="B21" s="91" t="s">
        <v>36</v>
      </c>
      <c r="C21" s="95">
        <f>$E$13</f>
        <v>-1.5852581740085336</v>
      </c>
      <c r="D21" s="93" t="str">
        <f>IF($J$5="Mayor que","&gt;","&lt;")</f>
        <v>&lt;</v>
      </c>
      <c r="E21" s="91" t="s">
        <v>27</v>
      </c>
      <c r="F21" s="94">
        <f>F20</f>
        <v>-1.9599639845400538</v>
      </c>
      <c r="G21" s="91" t="s">
        <v>26</v>
      </c>
      <c r="H21" s="91"/>
    </row>
    <row r="22" spans="2:8" x14ac:dyDescent="0.2">
      <c r="B22" s="30"/>
    </row>
    <row r="23" spans="2:8" x14ac:dyDescent="0.2">
      <c r="B23" s="34"/>
    </row>
    <row r="24" spans="2:8" x14ac:dyDescent="0.2">
      <c r="B24" s="34"/>
    </row>
    <row r="25" spans="2:8" x14ac:dyDescent="0.2">
      <c r="B25" s="34"/>
    </row>
    <row r="26" spans="2:8" x14ac:dyDescent="0.2">
      <c r="B26" s="34"/>
    </row>
    <row r="27" spans="2:8" x14ac:dyDescent="0.2">
      <c r="B27" s="34"/>
    </row>
    <row r="28" spans="2:8" x14ac:dyDescent="0.2">
      <c r="B28" s="34"/>
    </row>
    <row r="29" spans="2:8" x14ac:dyDescent="0.2">
      <c r="B29" s="34"/>
    </row>
    <row r="30" spans="2:8" x14ac:dyDescent="0.2">
      <c r="B30" s="34"/>
    </row>
    <row r="31" spans="2:8" x14ac:dyDescent="0.2">
      <c r="B31" s="34"/>
    </row>
    <row r="32" spans="2:8" x14ac:dyDescent="0.2">
      <c r="B32" s="34"/>
    </row>
    <row r="33" spans="2:16" x14ac:dyDescent="0.2">
      <c r="B33" s="34"/>
    </row>
    <row r="34" spans="2:16" x14ac:dyDescent="0.2">
      <c r="B34" s="34"/>
    </row>
    <row r="35" spans="2:16" x14ac:dyDescent="0.2">
      <c r="B35" s="34"/>
    </row>
    <row r="36" spans="2:16" x14ac:dyDescent="0.2">
      <c r="B36" s="34"/>
    </row>
    <row r="37" spans="2:16" x14ac:dyDescent="0.2">
      <c r="B37" s="34"/>
      <c r="O37" s="30">
        <v>29</v>
      </c>
      <c r="P37" s="30">
        <v>22</v>
      </c>
    </row>
    <row r="38" spans="2:16" x14ac:dyDescent="0.2">
      <c r="B38" s="34"/>
      <c r="O38" s="30">
        <v>105</v>
      </c>
      <c r="P38" s="30">
        <v>110</v>
      </c>
    </row>
    <row r="39" spans="2:16" x14ac:dyDescent="0.2">
      <c r="B39" s="34"/>
      <c r="O39" s="30">
        <v>418</v>
      </c>
      <c r="P39" s="30">
        <v>165</v>
      </c>
    </row>
    <row r="40" spans="2:16" x14ac:dyDescent="0.2">
      <c r="B40" s="34"/>
    </row>
    <row r="41" spans="2:16" x14ac:dyDescent="0.2">
      <c r="B41" s="34"/>
    </row>
    <row r="42" spans="2:16" x14ac:dyDescent="0.2">
      <c r="B42" s="34"/>
    </row>
    <row r="43" spans="2:16" x14ac:dyDescent="0.2">
      <c r="B43" s="34"/>
    </row>
    <row r="44" spans="2:16" x14ac:dyDescent="0.2">
      <c r="B44" s="34"/>
    </row>
    <row r="45" spans="2:16" x14ac:dyDescent="0.2">
      <c r="B45" s="34"/>
    </row>
    <row r="46" spans="2:16" x14ac:dyDescent="0.2">
      <c r="B46" s="34"/>
    </row>
    <row r="47" spans="2:16" x14ac:dyDescent="0.2">
      <c r="B47" s="34"/>
    </row>
    <row r="48" spans="2:16" x14ac:dyDescent="0.2">
      <c r="B48" s="34"/>
    </row>
    <row r="49" spans="2:2" x14ac:dyDescent="0.2">
      <c r="B49" s="34"/>
    </row>
    <row r="50" spans="2:2" x14ac:dyDescent="0.2">
      <c r="B50" s="34"/>
    </row>
    <row r="51" spans="2:2" x14ac:dyDescent="0.2">
      <c r="B51" s="34"/>
    </row>
    <row r="52" spans="2:2" x14ac:dyDescent="0.2">
      <c r="B52" s="34"/>
    </row>
    <row r="53" spans="2:2" x14ac:dyDescent="0.2">
      <c r="B53" s="34"/>
    </row>
    <row r="54" spans="2:2" x14ac:dyDescent="0.2">
      <c r="B54" s="34"/>
    </row>
    <row r="55" spans="2:2" x14ac:dyDescent="0.2">
      <c r="B55" s="34"/>
    </row>
    <row r="56" spans="2:2" x14ac:dyDescent="0.2">
      <c r="B56" s="34"/>
    </row>
    <row r="57" spans="2:2" x14ac:dyDescent="0.2">
      <c r="B57" s="34"/>
    </row>
    <row r="58" spans="2:2" x14ac:dyDescent="0.2">
      <c r="B58" s="34"/>
    </row>
    <row r="59" spans="2:2" x14ac:dyDescent="0.2">
      <c r="B59" s="34"/>
    </row>
    <row r="60" spans="2:2" x14ac:dyDescent="0.2">
      <c r="B60" s="34"/>
    </row>
    <row r="61" spans="2:2" x14ac:dyDescent="0.2">
      <c r="B61" s="34"/>
    </row>
    <row r="62" spans="2:2" x14ac:dyDescent="0.2">
      <c r="B62" s="34"/>
    </row>
    <row r="63" spans="2:2" x14ac:dyDescent="0.2">
      <c r="B63" s="34"/>
    </row>
    <row r="64" spans="2:2" x14ac:dyDescent="0.2">
      <c r="B64" s="34"/>
    </row>
    <row r="65" spans="2:2" x14ac:dyDescent="0.2">
      <c r="B65" s="34"/>
    </row>
    <row r="66" spans="2:2" x14ac:dyDescent="0.2">
      <c r="B66" s="34"/>
    </row>
    <row r="67" spans="2:2" x14ac:dyDescent="0.2">
      <c r="B67" s="34"/>
    </row>
    <row r="68" spans="2:2" x14ac:dyDescent="0.2">
      <c r="B68" s="34"/>
    </row>
    <row r="69" spans="2:2" x14ac:dyDescent="0.2">
      <c r="B69" s="34"/>
    </row>
    <row r="70" spans="2:2" x14ac:dyDescent="0.2">
      <c r="B70" s="34"/>
    </row>
    <row r="71" spans="2:2" x14ac:dyDescent="0.2">
      <c r="B71" s="34"/>
    </row>
    <row r="72" spans="2:2" x14ac:dyDescent="0.2">
      <c r="B72" s="34"/>
    </row>
    <row r="73" spans="2:2" x14ac:dyDescent="0.2">
      <c r="B73" s="34"/>
    </row>
    <row r="74" spans="2:2" x14ac:dyDescent="0.2">
      <c r="B74" s="34"/>
    </row>
    <row r="75" spans="2:2" x14ac:dyDescent="0.2">
      <c r="B75" s="34"/>
    </row>
    <row r="76" spans="2:2" x14ac:dyDescent="0.2">
      <c r="B76" s="34"/>
    </row>
    <row r="77" spans="2:2" x14ac:dyDescent="0.2">
      <c r="B77" s="34"/>
    </row>
    <row r="78" spans="2:2" x14ac:dyDescent="0.2">
      <c r="B78" s="34"/>
    </row>
    <row r="79" spans="2:2" x14ac:dyDescent="0.2">
      <c r="B79" s="34"/>
    </row>
    <row r="80" spans="2:2" x14ac:dyDescent="0.2">
      <c r="B80" s="34"/>
    </row>
    <row r="81" spans="2:2" x14ac:dyDescent="0.2">
      <c r="B81" s="34"/>
    </row>
    <row r="82" spans="2:2" x14ac:dyDescent="0.2">
      <c r="B82" s="34"/>
    </row>
    <row r="83" spans="2:2" x14ac:dyDescent="0.2">
      <c r="B83" s="34"/>
    </row>
    <row r="84" spans="2:2" x14ac:dyDescent="0.2">
      <c r="B84" s="34"/>
    </row>
    <row r="85" spans="2:2" x14ac:dyDescent="0.2">
      <c r="B85" s="34"/>
    </row>
    <row r="86" spans="2:2" x14ac:dyDescent="0.2">
      <c r="B86" s="34"/>
    </row>
    <row r="87" spans="2:2" x14ac:dyDescent="0.2">
      <c r="B87" s="34"/>
    </row>
    <row r="88" spans="2:2" x14ac:dyDescent="0.2">
      <c r="B88" s="34"/>
    </row>
    <row r="89" spans="2:2" x14ac:dyDescent="0.2">
      <c r="B89" s="34"/>
    </row>
    <row r="90" spans="2:2" x14ac:dyDescent="0.2">
      <c r="B90" s="34"/>
    </row>
    <row r="91" spans="2:2" x14ac:dyDescent="0.2">
      <c r="B91" s="39"/>
    </row>
    <row r="92" spans="2:2" x14ac:dyDescent="0.2">
      <c r="B92" s="39"/>
    </row>
    <row r="93" spans="2:2" x14ac:dyDescent="0.2">
      <c r="B93" s="39"/>
    </row>
    <row r="94" spans="2:2" x14ac:dyDescent="0.2">
      <c r="B94" s="39"/>
    </row>
    <row r="95" spans="2:2" x14ac:dyDescent="0.2">
      <c r="B95" s="39"/>
    </row>
    <row r="96" spans="2:2" x14ac:dyDescent="0.2">
      <c r="B96" s="39"/>
    </row>
    <row r="97" spans="2:2" x14ac:dyDescent="0.2">
      <c r="B97" s="39"/>
    </row>
    <row r="98" spans="2:2" x14ac:dyDescent="0.2">
      <c r="B98" s="39"/>
    </row>
    <row r="99" spans="2:2" x14ac:dyDescent="0.2">
      <c r="B99" s="39"/>
    </row>
    <row r="100" spans="2:2" x14ac:dyDescent="0.2">
      <c r="B100" s="39"/>
    </row>
    <row r="101" spans="2:2" x14ac:dyDescent="0.2">
      <c r="B101" s="39"/>
    </row>
    <row r="102" spans="2:2" x14ac:dyDescent="0.2">
      <c r="B102" s="39"/>
    </row>
    <row r="103" spans="2:2" x14ac:dyDescent="0.2">
      <c r="B103" s="39"/>
    </row>
    <row r="104" spans="2:2" x14ac:dyDescent="0.2">
      <c r="B104" s="39"/>
    </row>
    <row r="105" spans="2:2" x14ac:dyDescent="0.2">
      <c r="B105" s="39"/>
    </row>
    <row r="106" spans="2:2" x14ac:dyDescent="0.2">
      <c r="B106" s="39"/>
    </row>
    <row r="107" spans="2:2" x14ac:dyDescent="0.2">
      <c r="B107" s="39"/>
    </row>
    <row r="108" spans="2:2" x14ac:dyDescent="0.2">
      <c r="B108" s="39"/>
    </row>
    <row r="109" spans="2:2" x14ac:dyDescent="0.2">
      <c r="B109" s="39"/>
    </row>
    <row r="110" spans="2:2" x14ac:dyDescent="0.2">
      <c r="B110" s="39"/>
    </row>
    <row r="111" spans="2:2" x14ac:dyDescent="0.2">
      <c r="B111" s="39"/>
    </row>
    <row r="112" spans="2:2" x14ac:dyDescent="0.2">
      <c r="B112" s="39"/>
    </row>
    <row r="113" spans="2:2" x14ac:dyDescent="0.2">
      <c r="B113" s="39"/>
    </row>
    <row r="114" spans="2:2" x14ac:dyDescent="0.2">
      <c r="B114" s="39"/>
    </row>
    <row r="115" spans="2:2" x14ac:dyDescent="0.2">
      <c r="B115" s="39"/>
    </row>
    <row r="116" spans="2:2" x14ac:dyDescent="0.2">
      <c r="B116" s="39"/>
    </row>
    <row r="117" spans="2:2" x14ac:dyDescent="0.2">
      <c r="B117" s="39"/>
    </row>
    <row r="118" spans="2:2" x14ac:dyDescent="0.2">
      <c r="B118" s="39"/>
    </row>
    <row r="119" spans="2:2" x14ac:dyDescent="0.2">
      <c r="B119" s="39"/>
    </row>
    <row r="120" spans="2:2" x14ac:dyDescent="0.2">
      <c r="B120" s="39"/>
    </row>
    <row r="121" spans="2:2" x14ac:dyDescent="0.2">
      <c r="B121" s="39"/>
    </row>
    <row r="122" spans="2:2" x14ac:dyDescent="0.2">
      <c r="B122" s="39"/>
    </row>
    <row r="123" spans="2:2" x14ac:dyDescent="0.2">
      <c r="B123" s="39"/>
    </row>
    <row r="124" spans="2:2" x14ac:dyDescent="0.2">
      <c r="B124" s="39"/>
    </row>
    <row r="125" spans="2:2" x14ac:dyDescent="0.2">
      <c r="B125" s="39"/>
    </row>
    <row r="126" spans="2:2" x14ac:dyDescent="0.2">
      <c r="B126" s="39"/>
    </row>
    <row r="127" spans="2:2" x14ac:dyDescent="0.2">
      <c r="B127" s="39"/>
    </row>
    <row r="128" spans="2:2" x14ac:dyDescent="0.2">
      <c r="B128" s="39"/>
    </row>
    <row r="129" spans="2:2" x14ac:dyDescent="0.2">
      <c r="B129" s="39"/>
    </row>
    <row r="130" spans="2:2" x14ac:dyDescent="0.2">
      <c r="B130" s="39"/>
    </row>
    <row r="131" spans="2:2" x14ac:dyDescent="0.2">
      <c r="B131" s="39"/>
    </row>
    <row r="132" spans="2:2" x14ac:dyDescent="0.2">
      <c r="B132" s="39"/>
    </row>
    <row r="133" spans="2:2" x14ac:dyDescent="0.2">
      <c r="B133" s="39"/>
    </row>
    <row r="134" spans="2:2" x14ac:dyDescent="0.2">
      <c r="B134" s="39"/>
    </row>
    <row r="135" spans="2:2" x14ac:dyDescent="0.2">
      <c r="B135" s="39"/>
    </row>
    <row r="136" spans="2:2" x14ac:dyDescent="0.2">
      <c r="B136" s="39"/>
    </row>
    <row r="137" spans="2:2" x14ac:dyDescent="0.2">
      <c r="B137" s="39"/>
    </row>
    <row r="138" spans="2:2" x14ac:dyDescent="0.2">
      <c r="B138" s="39"/>
    </row>
    <row r="139" spans="2:2" x14ac:dyDescent="0.2">
      <c r="B139" s="39"/>
    </row>
    <row r="140" spans="2:2" x14ac:dyDescent="0.2">
      <c r="B140" s="39"/>
    </row>
    <row r="141" spans="2:2" x14ac:dyDescent="0.2">
      <c r="B141" s="39"/>
    </row>
    <row r="142" spans="2:2" x14ac:dyDescent="0.2">
      <c r="B142" s="39"/>
    </row>
    <row r="143" spans="2:2" x14ac:dyDescent="0.2">
      <c r="B143" s="39"/>
    </row>
    <row r="144" spans="2:2" x14ac:dyDescent="0.2">
      <c r="B144" s="39"/>
    </row>
    <row r="145" spans="2:2" x14ac:dyDescent="0.2">
      <c r="B145" s="39"/>
    </row>
    <row r="146" spans="2:2" x14ac:dyDescent="0.2">
      <c r="B146" s="39"/>
    </row>
    <row r="147" spans="2:2" x14ac:dyDescent="0.2">
      <c r="B147" s="39"/>
    </row>
    <row r="148" spans="2:2" x14ac:dyDescent="0.2">
      <c r="B148" s="39"/>
    </row>
    <row r="149" spans="2:2" x14ac:dyDescent="0.2">
      <c r="B149" s="39"/>
    </row>
    <row r="150" spans="2:2" x14ac:dyDescent="0.2">
      <c r="B150" s="39"/>
    </row>
    <row r="151" spans="2:2" x14ac:dyDescent="0.2">
      <c r="B151" s="39"/>
    </row>
    <row r="152" spans="2:2" x14ac:dyDescent="0.2">
      <c r="B152" s="39"/>
    </row>
    <row r="153" spans="2:2" x14ac:dyDescent="0.2">
      <c r="B153" s="39"/>
    </row>
    <row r="154" spans="2:2" x14ac:dyDescent="0.2">
      <c r="B154" s="39"/>
    </row>
    <row r="155" spans="2:2" x14ac:dyDescent="0.2">
      <c r="B155" s="39"/>
    </row>
    <row r="156" spans="2:2" x14ac:dyDescent="0.2">
      <c r="B156" s="39"/>
    </row>
    <row r="157" spans="2:2" x14ac:dyDescent="0.2">
      <c r="B157" s="39"/>
    </row>
    <row r="158" spans="2:2" x14ac:dyDescent="0.2">
      <c r="B158" s="39"/>
    </row>
    <row r="159" spans="2:2" x14ac:dyDescent="0.2">
      <c r="B159" s="39"/>
    </row>
    <row r="160" spans="2:2" x14ac:dyDescent="0.2">
      <c r="B160" s="39"/>
    </row>
    <row r="161" spans="2:2" x14ac:dyDescent="0.2">
      <c r="B161" s="39"/>
    </row>
    <row r="162" spans="2:2" x14ac:dyDescent="0.2">
      <c r="B162" s="39"/>
    </row>
    <row r="163" spans="2:2" x14ac:dyDescent="0.2">
      <c r="B163" s="39"/>
    </row>
    <row r="164" spans="2:2" x14ac:dyDescent="0.2">
      <c r="B164" s="39"/>
    </row>
    <row r="165" spans="2:2" x14ac:dyDescent="0.2">
      <c r="B165" s="39"/>
    </row>
    <row r="166" spans="2:2" x14ac:dyDescent="0.2">
      <c r="B166" s="39"/>
    </row>
    <row r="167" spans="2:2" x14ac:dyDescent="0.2">
      <c r="B167" s="39"/>
    </row>
    <row r="168" spans="2:2" x14ac:dyDescent="0.2">
      <c r="B168" s="39"/>
    </row>
    <row r="169" spans="2:2" x14ac:dyDescent="0.2">
      <c r="B169" s="39"/>
    </row>
    <row r="170" spans="2:2" x14ac:dyDescent="0.2">
      <c r="B170" s="39"/>
    </row>
    <row r="171" spans="2:2" x14ac:dyDescent="0.2">
      <c r="B171" s="39"/>
    </row>
    <row r="172" spans="2:2" x14ac:dyDescent="0.2">
      <c r="B172" s="39"/>
    </row>
    <row r="173" spans="2:2" x14ac:dyDescent="0.2">
      <c r="B173" s="39"/>
    </row>
    <row r="174" spans="2:2" x14ac:dyDescent="0.2">
      <c r="B174" s="39"/>
    </row>
    <row r="175" spans="2:2" x14ac:dyDescent="0.2">
      <c r="B175" s="39"/>
    </row>
    <row r="176" spans="2:2" x14ac:dyDescent="0.2">
      <c r="B176" s="39"/>
    </row>
    <row r="177" spans="2:2" x14ac:dyDescent="0.2">
      <c r="B177" s="39"/>
    </row>
    <row r="178" spans="2:2" x14ac:dyDescent="0.2">
      <c r="B178" s="39"/>
    </row>
    <row r="179" spans="2:2" x14ac:dyDescent="0.2">
      <c r="B179" s="39"/>
    </row>
    <row r="180" spans="2:2" x14ac:dyDescent="0.2">
      <c r="B180" s="39"/>
    </row>
    <row r="181" spans="2:2" x14ac:dyDescent="0.2">
      <c r="B181" s="39"/>
    </row>
    <row r="182" spans="2:2" x14ac:dyDescent="0.2">
      <c r="B182" s="39"/>
    </row>
    <row r="183" spans="2:2" x14ac:dyDescent="0.2">
      <c r="B183" s="39"/>
    </row>
    <row r="184" spans="2:2" x14ac:dyDescent="0.2">
      <c r="B184" s="39"/>
    </row>
    <row r="185" spans="2:2" x14ac:dyDescent="0.2">
      <c r="B185" s="39"/>
    </row>
    <row r="186" spans="2:2" x14ac:dyDescent="0.2">
      <c r="B186" s="39"/>
    </row>
    <row r="187" spans="2:2" x14ac:dyDescent="0.2">
      <c r="B187" s="39"/>
    </row>
    <row r="188" spans="2:2" x14ac:dyDescent="0.2">
      <c r="B188" s="39"/>
    </row>
    <row r="189" spans="2:2" x14ac:dyDescent="0.2">
      <c r="B189" s="39"/>
    </row>
    <row r="190" spans="2:2" x14ac:dyDescent="0.2">
      <c r="B190" s="39"/>
    </row>
    <row r="191" spans="2:2" x14ac:dyDescent="0.2">
      <c r="B191" s="39"/>
    </row>
    <row r="192" spans="2:2" x14ac:dyDescent="0.2">
      <c r="B192" s="39"/>
    </row>
    <row r="193" spans="2:2" x14ac:dyDescent="0.2">
      <c r="B193" s="39"/>
    </row>
    <row r="194" spans="2:2" x14ac:dyDescent="0.2">
      <c r="B194" s="39"/>
    </row>
    <row r="195" spans="2:2" x14ac:dyDescent="0.2">
      <c r="B195" s="39"/>
    </row>
    <row r="196" spans="2:2" x14ac:dyDescent="0.2">
      <c r="B196" s="39"/>
    </row>
    <row r="197" spans="2:2" x14ac:dyDescent="0.2">
      <c r="B197" s="39"/>
    </row>
    <row r="198" spans="2:2" x14ac:dyDescent="0.2">
      <c r="B198" s="39"/>
    </row>
    <row r="199" spans="2:2" x14ac:dyDescent="0.2">
      <c r="B199" s="39"/>
    </row>
    <row r="200" spans="2:2" x14ac:dyDescent="0.2">
      <c r="B200" s="39"/>
    </row>
    <row r="201" spans="2:2" x14ac:dyDescent="0.2">
      <c r="B201" s="39"/>
    </row>
    <row r="202" spans="2:2" x14ac:dyDescent="0.2">
      <c r="B202" s="39"/>
    </row>
    <row r="203" spans="2:2" x14ac:dyDescent="0.2">
      <c r="B203" s="39"/>
    </row>
    <row r="204" spans="2:2" x14ac:dyDescent="0.2">
      <c r="B204" s="39"/>
    </row>
    <row r="205" spans="2:2" x14ac:dyDescent="0.2">
      <c r="B205" s="39"/>
    </row>
    <row r="206" spans="2:2" x14ac:dyDescent="0.2">
      <c r="B206" s="39"/>
    </row>
    <row r="207" spans="2:2" x14ac:dyDescent="0.2">
      <c r="B207" s="39"/>
    </row>
    <row r="208" spans="2:2" x14ac:dyDescent="0.2">
      <c r="B208" s="39"/>
    </row>
    <row r="209" spans="2:2" x14ac:dyDescent="0.2">
      <c r="B209" s="39"/>
    </row>
    <row r="210" spans="2:2" x14ac:dyDescent="0.2">
      <c r="B210" s="39"/>
    </row>
    <row r="211" spans="2:2" x14ac:dyDescent="0.2">
      <c r="B211" s="39"/>
    </row>
    <row r="212" spans="2:2" x14ac:dyDescent="0.2">
      <c r="B212" s="39"/>
    </row>
    <row r="213" spans="2:2" x14ac:dyDescent="0.2">
      <c r="B213" s="39"/>
    </row>
    <row r="214" spans="2:2" x14ac:dyDescent="0.2">
      <c r="B214" s="39"/>
    </row>
    <row r="215" spans="2:2" x14ac:dyDescent="0.2">
      <c r="B215" s="39"/>
    </row>
    <row r="216" spans="2:2" x14ac:dyDescent="0.2">
      <c r="B216" s="39"/>
    </row>
    <row r="217" spans="2:2" x14ac:dyDescent="0.2">
      <c r="B217" s="39"/>
    </row>
    <row r="218" spans="2:2" x14ac:dyDescent="0.2">
      <c r="B218" s="39"/>
    </row>
    <row r="219" spans="2:2" x14ac:dyDescent="0.2">
      <c r="B219" s="39"/>
    </row>
    <row r="220" spans="2:2" x14ac:dyDescent="0.2">
      <c r="B220" s="39"/>
    </row>
    <row r="221" spans="2:2" x14ac:dyDescent="0.2">
      <c r="B221" s="39"/>
    </row>
    <row r="222" spans="2:2" x14ac:dyDescent="0.2">
      <c r="B222" s="39"/>
    </row>
    <row r="223" spans="2:2" x14ac:dyDescent="0.2">
      <c r="B223" s="39"/>
    </row>
    <row r="224" spans="2:2" x14ac:dyDescent="0.2">
      <c r="B224" s="39"/>
    </row>
    <row r="225" spans="2:2" x14ac:dyDescent="0.2">
      <c r="B225" s="39"/>
    </row>
    <row r="226" spans="2:2" x14ac:dyDescent="0.2">
      <c r="B226" s="39"/>
    </row>
    <row r="227" spans="2:2" x14ac:dyDescent="0.2">
      <c r="B227" s="39"/>
    </row>
    <row r="228" spans="2:2" x14ac:dyDescent="0.2">
      <c r="B228" s="39"/>
    </row>
    <row r="229" spans="2:2" x14ac:dyDescent="0.2">
      <c r="B229" s="39"/>
    </row>
    <row r="230" spans="2:2" x14ac:dyDescent="0.2">
      <c r="B230" s="39"/>
    </row>
    <row r="231" spans="2:2" x14ac:dyDescent="0.2">
      <c r="B231" s="39"/>
    </row>
    <row r="232" spans="2:2" x14ac:dyDescent="0.2">
      <c r="B232" s="39"/>
    </row>
    <row r="233" spans="2:2" x14ac:dyDescent="0.2">
      <c r="B233" s="39"/>
    </row>
    <row r="234" spans="2:2" x14ac:dyDescent="0.2">
      <c r="B234" s="39"/>
    </row>
    <row r="235" spans="2:2" x14ac:dyDescent="0.2">
      <c r="B235" s="39"/>
    </row>
    <row r="236" spans="2:2" x14ac:dyDescent="0.2">
      <c r="B236" s="39"/>
    </row>
    <row r="237" spans="2:2" x14ac:dyDescent="0.2">
      <c r="B237" s="39"/>
    </row>
    <row r="238" spans="2:2" x14ac:dyDescent="0.2">
      <c r="B238" s="39"/>
    </row>
    <row r="239" spans="2:2" x14ac:dyDescent="0.2">
      <c r="B239" s="39"/>
    </row>
    <row r="240" spans="2:2" x14ac:dyDescent="0.2">
      <c r="B240" s="39"/>
    </row>
    <row r="241" spans="2:2" x14ac:dyDescent="0.2">
      <c r="B241" s="39"/>
    </row>
    <row r="242" spans="2:2" x14ac:dyDescent="0.2">
      <c r="B242" s="39"/>
    </row>
    <row r="243" spans="2:2" x14ac:dyDescent="0.2">
      <c r="B243" s="39"/>
    </row>
    <row r="244" spans="2:2" x14ac:dyDescent="0.2">
      <c r="B244" s="39"/>
    </row>
    <row r="245" spans="2:2" x14ac:dyDescent="0.2">
      <c r="B245" s="39"/>
    </row>
    <row r="246" spans="2:2" x14ac:dyDescent="0.2">
      <c r="B246" s="39"/>
    </row>
    <row r="247" spans="2:2" x14ac:dyDescent="0.2">
      <c r="B247" s="39"/>
    </row>
    <row r="248" spans="2:2" x14ac:dyDescent="0.2">
      <c r="B248" s="39"/>
    </row>
    <row r="249" spans="2:2" x14ac:dyDescent="0.2">
      <c r="B249" s="39"/>
    </row>
    <row r="250" spans="2:2" x14ac:dyDescent="0.2">
      <c r="B250" s="39"/>
    </row>
    <row r="251" spans="2:2" x14ac:dyDescent="0.2">
      <c r="B251" s="39"/>
    </row>
    <row r="252" spans="2:2" x14ac:dyDescent="0.2">
      <c r="B252" s="39"/>
    </row>
    <row r="253" spans="2:2" x14ac:dyDescent="0.2">
      <c r="B253" s="39"/>
    </row>
    <row r="254" spans="2:2" x14ac:dyDescent="0.2">
      <c r="B254" s="39"/>
    </row>
    <row r="255" spans="2:2" x14ac:dyDescent="0.2">
      <c r="B255" s="39"/>
    </row>
    <row r="256" spans="2:2" x14ac:dyDescent="0.2">
      <c r="B256" s="39"/>
    </row>
    <row r="257" spans="2:2" x14ac:dyDescent="0.2">
      <c r="B257" s="39"/>
    </row>
    <row r="258" spans="2:2" x14ac:dyDescent="0.2">
      <c r="B258" s="39"/>
    </row>
    <row r="259" spans="2:2" x14ac:dyDescent="0.2">
      <c r="B259" s="39"/>
    </row>
    <row r="260" spans="2:2" x14ac:dyDescent="0.2">
      <c r="B260" s="39"/>
    </row>
    <row r="261" spans="2:2" x14ac:dyDescent="0.2">
      <c r="B261" s="39"/>
    </row>
    <row r="262" spans="2:2" x14ac:dyDescent="0.2">
      <c r="B262" s="39"/>
    </row>
    <row r="263" spans="2:2" x14ac:dyDescent="0.2">
      <c r="B263" s="39"/>
    </row>
    <row r="264" spans="2:2" x14ac:dyDescent="0.2">
      <c r="B264" s="39"/>
    </row>
    <row r="265" spans="2:2" x14ac:dyDescent="0.2">
      <c r="B265" s="39"/>
    </row>
    <row r="266" spans="2:2" x14ac:dyDescent="0.2">
      <c r="B266" s="39"/>
    </row>
    <row r="267" spans="2:2" x14ac:dyDescent="0.2">
      <c r="B267" s="39"/>
    </row>
    <row r="268" spans="2:2" x14ac:dyDescent="0.2">
      <c r="B268" s="39"/>
    </row>
    <row r="269" spans="2:2" x14ac:dyDescent="0.2">
      <c r="B269" s="39"/>
    </row>
    <row r="270" spans="2:2" x14ac:dyDescent="0.2">
      <c r="B270" s="39"/>
    </row>
    <row r="271" spans="2:2" x14ac:dyDescent="0.2">
      <c r="B271" s="39"/>
    </row>
    <row r="272" spans="2:2" x14ac:dyDescent="0.2">
      <c r="B272" s="39"/>
    </row>
    <row r="273" spans="2:2" x14ac:dyDescent="0.2">
      <c r="B273" s="39"/>
    </row>
    <row r="274" spans="2:2" x14ac:dyDescent="0.2">
      <c r="B274" s="39"/>
    </row>
    <row r="275" spans="2:2" x14ac:dyDescent="0.2">
      <c r="B275" s="39"/>
    </row>
    <row r="276" spans="2:2" x14ac:dyDescent="0.2">
      <c r="B276" s="39"/>
    </row>
    <row r="277" spans="2:2" x14ac:dyDescent="0.2">
      <c r="B277" s="39"/>
    </row>
    <row r="278" spans="2:2" x14ac:dyDescent="0.2">
      <c r="B278" s="39"/>
    </row>
    <row r="279" spans="2:2" x14ac:dyDescent="0.2">
      <c r="B279" s="39"/>
    </row>
    <row r="280" spans="2:2" x14ac:dyDescent="0.2">
      <c r="B280" s="39"/>
    </row>
    <row r="281" spans="2:2" x14ac:dyDescent="0.2">
      <c r="B281" s="39"/>
    </row>
    <row r="282" spans="2:2" x14ac:dyDescent="0.2">
      <c r="B282" s="39"/>
    </row>
    <row r="283" spans="2:2" x14ac:dyDescent="0.2">
      <c r="B283" s="39"/>
    </row>
    <row r="284" spans="2:2" x14ac:dyDescent="0.2">
      <c r="B284" s="39"/>
    </row>
    <row r="285" spans="2:2" x14ac:dyDescent="0.2">
      <c r="B285" s="39"/>
    </row>
    <row r="286" spans="2:2" x14ac:dyDescent="0.2">
      <c r="B286" s="39"/>
    </row>
    <row r="287" spans="2:2" x14ac:dyDescent="0.2">
      <c r="B287" s="39"/>
    </row>
    <row r="288" spans="2:2" x14ac:dyDescent="0.2">
      <c r="B288" s="39"/>
    </row>
    <row r="289" spans="2:2" x14ac:dyDescent="0.2">
      <c r="B289" s="39"/>
    </row>
    <row r="290" spans="2:2" x14ac:dyDescent="0.2">
      <c r="B290" s="39"/>
    </row>
    <row r="291" spans="2:2" x14ac:dyDescent="0.2">
      <c r="B291" s="39"/>
    </row>
    <row r="292" spans="2:2" x14ac:dyDescent="0.2">
      <c r="B292" s="39"/>
    </row>
    <row r="293" spans="2:2" x14ac:dyDescent="0.2">
      <c r="B293" s="39"/>
    </row>
    <row r="294" spans="2:2" x14ac:dyDescent="0.2">
      <c r="B294" s="39"/>
    </row>
    <row r="295" spans="2:2" x14ac:dyDescent="0.2">
      <c r="B295" s="39"/>
    </row>
    <row r="296" spans="2:2" x14ac:dyDescent="0.2">
      <c r="B296" s="39"/>
    </row>
    <row r="297" spans="2:2" x14ac:dyDescent="0.2">
      <c r="B297" s="39"/>
    </row>
    <row r="298" spans="2:2" x14ac:dyDescent="0.2">
      <c r="B298" s="39"/>
    </row>
    <row r="299" spans="2:2" x14ac:dyDescent="0.2">
      <c r="B299" s="39"/>
    </row>
    <row r="300" spans="2:2" x14ac:dyDescent="0.2">
      <c r="B300" s="39"/>
    </row>
    <row r="301" spans="2:2" x14ac:dyDescent="0.2">
      <c r="B301" s="39"/>
    </row>
    <row r="302" spans="2:2" x14ac:dyDescent="0.2">
      <c r="B302" s="39"/>
    </row>
    <row r="303" spans="2:2" x14ac:dyDescent="0.2">
      <c r="B303" s="39"/>
    </row>
    <row r="304" spans="2:2" x14ac:dyDescent="0.2">
      <c r="B304" s="39"/>
    </row>
    <row r="305" spans="2:2" x14ac:dyDescent="0.2">
      <c r="B305" s="39"/>
    </row>
    <row r="306" spans="2:2" x14ac:dyDescent="0.2">
      <c r="B306" s="39"/>
    </row>
    <row r="307" spans="2:2" x14ac:dyDescent="0.2">
      <c r="B307" s="39"/>
    </row>
    <row r="308" spans="2:2" x14ac:dyDescent="0.2">
      <c r="B308" s="39"/>
    </row>
    <row r="309" spans="2:2" x14ac:dyDescent="0.2">
      <c r="B309" s="39"/>
    </row>
    <row r="310" spans="2:2" x14ac:dyDescent="0.2">
      <c r="B310" s="39"/>
    </row>
    <row r="311" spans="2:2" x14ac:dyDescent="0.2">
      <c r="B311" s="39"/>
    </row>
    <row r="312" spans="2:2" x14ac:dyDescent="0.2">
      <c r="B312" s="39"/>
    </row>
    <row r="313" spans="2:2" x14ac:dyDescent="0.2">
      <c r="B313" s="39"/>
    </row>
    <row r="314" spans="2:2" x14ac:dyDescent="0.2">
      <c r="B314" s="39"/>
    </row>
    <row r="315" spans="2:2" x14ac:dyDescent="0.2">
      <c r="B315" s="39"/>
    </row>
    <row r="316" spans="2:2" x14ac:dyDescent="0.2">
      <c r="B316" s="39"/>
    </row>
    <row r="317" spans="2:2" x14ac:dyDescent="0.2">
      <c r="B317" s="39"/>
    </row>
    <row r="318" spans="2:2" x14ac:dyDescent="0.2">
      <c r="B318" s="39"/>
    </row>
    <row r="319" spans="2:2" x14ac:dyDescent="0.2">
      <c r="B319" s="39"/>
    </row>
    <row r="320" spans="2:2" x14ac:dyDescent="0.2">
      <c r="B320" s="39"/>
    </row>
    <row r="321" spans="2:2" x14ac:dyDescent="0.2">
      <c r="B321" s="39"/>
    </row>
    <row r="322" spans="2:2" x14ac:dyDescent="0.2">
      <c r="B322" s="39"/>
    </row>
    <row r="323" spans="2:2" x14ac:dyDescent="0.2">
      <c r="B323" s="39"/>
    </row>
    <row r="324" spans="2:2" x14ac:dyDescent="0.2">
      <c r="B324" s="39"/>
    </row>
    <row r="325" spans="2:2" x14ac:dyDescent="0.2">
      <c r="B325" s="39"/>
    </row>
    <row r="326" spans="2:2" x14ac:dyDescent="0.2">
      <c r="B326" s="39"/>
    </row>
    <row r="327" spans="2:2" x14ac:dyDescent="0.2">
      <c r="B327" s="39"/>
    </row>
    <row r="328" spans="2:2" x14ac:dyDescent="0.2">
      <c r="B328" s="39"/>
    </row>
    <row r="329" spans="2:2" x14ac:dyDescent="0.2">
      <c r="B329" s="39"/>
    </row>
    <row r="330" spans="2:2" x14ac:dyDescent="0.2">
      <c r="B330" s="39"/>
    </row>
    <row r="331" spans="2:2" x14ac:dyDescent="0.2">
      <c r="B331" s="39"/>
    </row>
    <row r="332" spans="2:2" x14ac:dyDescent="0.2">
      <c r="B332" s="39"/>
    </row>
    <row r="333" spans="2:2" x14ac:dyDescent="0.2">
      <c r="B333" s="39"/>
    </row>
    <row r="334" spans="2:2" x14ac:dyDescent="0.2">
      <c r="B334" s="39"/>
    </row>
    <row r="335" spans="2:2" x14ac:dyDescent="0.2">
      <c r="B335" s="39"/>
    </row>
    <row r="336" spans="2:2" x14ac:dyDescent="0.2">
      <c r="B336" s="39"/>
    </row>
    <row r="337" spans="2:2" x14ac:dyDescent="0.2">
      <c r="B337" s="39"/>
    </row>
    <row r="338" spans="2:2" x14ac:dyDescent="0.2">
      <c r="B338" s="39"/>
    </row>
    <row r="339" spans="2:2" x14ac:dyDescent="0.2">
      <c r="B339" s="39"/>
    </row>
    <row r="340" spans="2:2" x14ac:dyDescent="0.2">
      <c r="B340" s="39"/>
    </row>
    <row r="341" spans="2:2" x14ac:dyDescent="0.2">
      <c r="B341" s="39"/>
    </row>
    <row r="342" spans="2:2" x14ac:dyDescent="0.2">
      <c r="B342" s="39"/>
    </row>
    <row r="343" spans="2:2" x14ac:dyDescent="0.2">
      <c r="B343" s="39"/>
    </row>
    <row r="344" spans="2:2" x14ac:dyDescent="0.2">
      <c r="B344" s="39"/>
    </row>
    <row r="345" spans="2:2" x14ac:dyDescent="0.2">
      <c r="B345" s="39"/>
    </row>
    <row r="346" spans="2:2" x14ac:dyDescent="0.2">
      <c r="B346" s="39"/>
    </row>
    <row r="347" spans="2:2" x14ac:dyDescent="0.2">
      <c r="B347" s="39"/>
    </row>
    <row r="348" spans="2:2" x14ac:dyDescent="0.2">
      <c r="B348" s="39"/>
    </row>
    <row r="349" spans="2:2" x14ac:dyDescent="0.2">
      <c r="B349" s="39"/>
    </row>
    <row r="350" spans="2:2" x14ac:dyDescent="0.2">
      <c r="B350" s="39"/>
    </row>
    <row r="351" spans="2:2" x14ac:dyDescent="0.2">
      <c r="B351" s="39"/>
    </row>
    <row r="352" spans="2:2" x14ac:dyDescent="0.2">
      <c r="B352" s="39"/>
    </row>
    <row r="353" spans="2:2" x14ac:dyDescent="0.2">
      <c r="B353" s="39"/>
    </row>
    <row r="354" spans="2:2" x14ac:dyDescent="0.2">
      <c r="B354" s="39"/>
    </row>
    <row r="355" spans="2:2" x14ac:dyDescent="0.2">
      <c r="B355" s="39"/>
    </row>
    <row r="356" spans="2:2" x14ac:dyDescent="0.2">
      <c r="B356" s="39"/>
    </row>
    <row r="357" spans="2:2" x14ac:dyDescent="0.2">
      <c r="B357" s="39"/>
    </row>
    <row r="358" spans="2:2" x14ac:dyDescent="0.2">
      <c r="B358" s="39"/>
    </row>
    <row r="359" spans="2:2" x14ac:dyDescent="0.2">
      <c r="B359" s="39"/>
    </row>
    <row r="360" spans="2:2" x14ac:dyDescent="0.2">
      <c r="B360" s="39"/>
    </row>
    <row r="361" spans="2:2" x14ac:dyDescent="0.2">
      <c r="B361" s="39"/>
    </row>
    <row r="362" spans="2:2" x14ac:dyDescent="0.2">
      <c r="B362" s="39"/>
    </row>
    <row r="363" spans="2:2" x14ac:dyDescent="0.2">
      <c r="B363" s="39"/>
    </row>
    <row r="364" spans="2:2" x14ac:dyDescent="0.2">
      <c r="B364" s="39"/>
    </row>
    <row r="365" spans="2:2" x14ac:dyDescent="0.2">
      <c r="B365" s="39"/>
    </row>
    <row r="366" spans="2:2" x14ac:dyDescent="0.2">
      <c r="B366" s="39"/>
    </row>
    <row r="367" spans="2:2" x14ac:dyDescent="0.2">
      <c r="B367" s="39"/>
    </row>
    <row r="368" spans="2:2" x14ac:dyDescent="0.2">
      <c r="B368" s="39"/>
    </row>
    <row r="369" spans="2:2" x14ac:dyDescent="0.2">
      <c r="B369" s="39"/>
    </row>
    <row r="370" spans="2:2" x14ac:dyDescent="0.2">
      <c r="B370" s="39"/>
    </row>
    <row r="371" spans="2:2" x14ac:dyDescent="0.2">
      <c r="B371" s="39"/>
    </row>
    <row r="372" spans="2:2" x14ac:dyDescent="0.2">
      <c r="B372" s="39"/>
    </row>
    <row r="373" spans="2:2" x14ac:dyDescent="0.2">
      <c r="B373" s="39"/>
    </row>
    <row r="374" spans="2:2" x14ac:dyDescent="0.2">
      <c r="B374" s="39"/>
    </row>
    <row r="375" spans="2:2" x14ac:dyDescent="0.2">
      <c r="B375" s="39"/>
    </row>
    <row r="376" spans="2:2" x14ac:dyDescent="0.2">
      <c r="B376" s="39"/>
    </row>
    <row r="377" spans="2:2" x14ac:dyDescent="0.2">
      <c r="B377" s="39"/>
    </row>
    <row r="378" spans="2:2" x14ac:dyDescent="0.2">
      <c r="B378" s="39"/>
    </row>
    <row r="379" spans="2:2" x14ac:dyDescent="0.2">
      <c r="B379" s="39"/>
    </row>
    <row r="380" spans="2:2" x14ac:dyDescent="0.2">
      <c r="B380" s="39"/>
    </row>
    <row r="381" spans="2:2" x14ac:dyDescent="0.2">
      <c r="B381" s="39"/>
    </row>
    <row r="382" spans="2:2" x14ac:dyDescent="0.2">
      <c r="B382" s="39"/>
    </row>
    <row r="383" spans="2:2" x14ac:dyDescent="0.2">
      <c r="B383" s="39"/>
    </row>
    <row r="384" spans="2:2" x14ac:dyDescent="0.2">
      <c r="B384" s="39"/>
    </row>
    <row r="385" spans="2:2" x14ac:dyDescent="0.2">
      <c r="B385" s="39"/>
    </row>
    <row r="386" spans="2:2" x14ac:dyDescent="0.2">
      <c r="B386" s="39"/>
    </row>
    <row r="387" spans="2:2" x14ac:dyDescent="0.2">
      <c r="B387" s="39"/>
    </row>
    <row r="388" spans="2:2" x14ac:dyDescent="0.2">
      <c r="B388" s="39"/>
    </row>
    <row r="389" spans="2:2" x14ac:dyDescent="0.2">
      <c r="B389" s="39"/>
    </row>
    <row r="390" spans="2:2" x14ac:dyDescent="0.2">
      <c r="B390" s="39"/>
    </row>
    <row r="391" spans="2:2" x14ac:dyDescent="0.2">
      <c r="B391" s="39"/>
    </row>
    <row r="392" spans="2:2" x14ac:dyDescent="0.2">
      <c r="B392" s="39"/>
    </row>
    <row r="393" spans="2:2" x14ac:dyDescent="0.2">
      <c r="B393" s="39"/>
    </row>
    <row r="394" spans="2:2" x14ac:dyDescent="0.2">
      <c r="B394" s="39"/>
    </row>
    <row r="395" spans="2:2" x14ac:dyDescent="0.2">
      <c r="B395" s="39"/>
    </row>
    <row r="396" spans="2:2" x14ac:dyDescent="0.2">
      <c r="B396" s="39"/>
    </row>
    <row r="397" spans="2:2" x14ac:dyDescent="0.2">
      <c r="B397" s="39"/>
    </row>
    <row r="398" spans="2:2" x14ac:dyDescent="0.2">
      <c r="B398" s="39"/>
    </row>
    <row r="399" spans="2:2" x14ac:dyDescent="0.2">
      <c r="B399" s="39"/>
    </row>
    <row r="400" spans="2:2" x14ac:dyDescent="0.2">
      <c r="B400" s="39"/>
    </row>
    <row r="401" spans="2:2" x14ac:dyDescent="0.2">
      <c r="B401" s="39"/>
    </row>
    <row r="402" spans="2:2" x14ac:dyDescent="0.2">
      <c r="B402" s="39"/>
    </row>
    <row r="403" spans="2:2" x14ac:dyDescent="0.2">
      <c r="B403" s="39"/>
    </row>
    <row r="404" spans="2:2" x14ac:dyDescent="0.2">
      <c r="B404" s="39"/>
    </row>
    <row r="405" spans="2:2" x14ac:dyDescent="0.2">
      <c r="B405" s="39"/>
    </row>
    <row r="406" spans="2:2" x14ac:dyDescent="0.2">
      <c r="B406" s="39"/>
    </row>
    <row r="407" spans="2:2" x14ac:dyDescent="0.2">
      <c r="B407" s="39"/>
    </row>
    <row r="408" spans="2:2" x14ac:dyDescent="0.2">
      <c r="B408" s="39"/>
    </row>
    <row r="409" spans="2:2" x14ac:dyDescent="0.2">
      <c r="B409" s="39"/>
    </row>
    <row r="410" spans="2:2" x14ac:dyDescent="0.2">
      <c r="B410" s="39"/>
    </row>
    <row r="411" spans="2:2" x14ac:dyDescent="0.2">
      <c r="B411" s="39"/>
    </row>
    <row r="412" spans="2:2" x14ac:dyDescent="0.2">
      <c r="B412" s="39"/>
    </row>
    <row r="413" spans="2:2" x14ac:dyDescent="0.2">
      <c r="B413" s="39"/>
    </row>
    <row r="414" spans="2:2" x14ac:dyDescent="0.2">
      <c r="B414" s="39"/>
    </row>
    <row r="415" spans="2:2" x14ac:dyDescent="0.2">
      <c r="B415" s="39"/>
    </row>
    <row r="416" spans="2:2" x14ac:dyDescent="0.2">
      <c r="B416" s="39"/>
    </row>
    <row r="417" spans="2:2" x14ac:dyDescent="0.2">
      <c r="B417" s="39"/>
    </row>
    <row r="418" spans="2:2" x14ac:dyDescent="0.2">
      <c r="B418" s="39"/>
    </row>
    <row r="419" spans="2:2" x14ac:dyDescent="0.2">
      <c r="B419" s="39"/>
    </row>
    <row r="420" spans="2:2" x14ac:dyDescent="0.2">
      <c r="B420" s="39"/>
    </row>
    <row r="421" spans="2:2" x14ac:dyDescent="0.2">
      <c r="B421" s="39"/>
    </row>
    <row r="422" spans="2:2" x14ac:dyDescent="0.2">
      <c r="B422" s="39"/>
    </row>
    <row r="423" spans="2:2" x14ac:dyDescent="0.2">
      <c r="B423" s="39"/>
    </row>
    <row r="424" spans="2:2" x14ac:dyDescent="0.2">
      <c r="B424" s="39"/>
    </row>
    <row r="425" spans="2:2" x14ac:dyDescent="0.2">
      <c r="B425" s="39"/>
    </row>
    <row r="426" spans="2:2" x14ac:dyDescent="0.2">
      <c r="B426" s="39"/>
    </row>
    <row r="427" spans="2:2" x14ac:dyDescent="0.2">
      <c r="B427" s="39"/>
    </row>
    <row r="428" spans="2:2" x14ac:dyDescent="0.2">
      <c r="B428" s="39"/>
    </row>
    <row r="429" spans="2:2" x14ac:dyDescent="0.2">
      <c r="B429" s="39"/>
    </row>
    <row r="430" spans="2:2" x14ac:dyDescent="0.2">
      <c r="B430" s="39"/>
    </row>
    <row r="431" spans="2:2" x14ac:dyDescent="0.2">
      <c r="B431" s="39"/>
    </row>
    <row r="432" spans="2:2" x14ac:dyDescent="0.2">
      <c r="B432" s="39"/>
    </row>
    <row r="433" spans="2:2" x14ac:dyDescent="0.2">
      <c r="B433" s="39"/>
    </row>
    <row r="434" spans="2:2" x14ac:dyDescent="0.2">
      <c r="B434" s="39"/>
    </row>
    <row r="435" spans="2:2" x14ac:dyDescent="0.2">
      <c r="B435" s="39"/>
    </row>
    <row r="436" spans="2:2" x14ac:dyDescent="0.2">
      <c r="B436" s="39"/>
    </row>
    <row r="437" spans="2:2" x14ac:dyDescent="0.2">
      <c r="B437" s="39"/>
    </row>
    <row r="438" spans="2:2" x14ac:dyDescent="0.2">
      <c r="B438" s="39"/>
    </row>
    <row r="439" spans="2:2" x14ac:dyDescent="0.2">
      <c r="B439" s="39"/>
    </row>
    <row r="440" spans="2:2" x14ac:dyDescent="0.2">
      <c r="B440" s="39"/>
    </row>
    <row r="441" spans="2:2" x14ac:dyDescent="0.2">
      <c r="B441" s="39"/>
    </row>
    <row r="442" spans="2:2" x14ac:dyDescent="0.2">
      <c r="B442" s="39"/>
    </row>
    <row r="443" spans="2:2" x14ac:dyDescent="0.2">
      <c r="B443" s="39"/>
    </row>
    <row r="444" spans="2:2" x14ac:dyDescent="0.2">
      <c r="B444" s="39"/>
    </row>
    <row r="445" spans="2:2" x14ac:dyDescent="0.2">
      <c r="B445" s="39"/>
    </row>
    <row r="446" spans="2:2" x14ac:dyDescent="0.2">
      <c r="B446" s="39"/>
    </row>
    <row r="447" spans="2:2" x14ac:dyDescent="0.2">
      <c r="B447" s="39"/>
    </row>
    <row r="448" spans="2:2" x14ac:dyDescent="0.2">
      <c r="B448" s="39"/>
    </row>
    <row r="449" spans="2:2" x14ac:dyDescent="0.2">
      <c r="B449" s="39"/>
    </row>
    <row r="450" spans="2:2" x14ac:dyDescent="0.2">
      <c r="B450" s="39"/>
    </row>
    <row r="451" spans="2:2" x14ac:dyDescent="0.2">
      <c r="B451" s="39"/>
    </row>
    <row r="452" spans="2:2" x14ac:dyDescent="0.2">
      <c r="B452" s="39"/>
    </row>
    <row r="453" spans="2:2" x14ac:dyDescent="0.2">
      <c r="B453" s="39"/>
    </row>
    <row r="454" spans="2:2" x14ac:dyDescent="0.2">
      <c r="B454" s="39"/>
    </row>
    <row r="455" spans="2:2" x14ac:dyDescent="0.2">
      <c r="B455" s="39"/>
    </row>
    <row r="456" spans="2:2" x14ac:dyDescent="0.2">
      <c r="B456" s="39"/>
    </row>
    <row r="457" spans="2:2" x14ac:dyDescent="0.2">
      <c r="B457" s="39"/>
    </row>
    <row r="458" spans="2:2" x14ac:dyDescent="0.2">
      <c r="B458" s="39"/>
    </row>
    <row r="459" spans="2:2" x14ac:dyDescent="0.2">
      <c r="B459" s="39"/>
    </row>
    <row r="460" spans="2:2" x14ac:dyDescent="0.2">
      <c r="B460" s="39"/>
    </row>
    <row r="461" spans="2:2" x14ac:dyDescent="0.2">
      <c r="B461" s="39"/>
    </row>
    <row r="462" spans="2:2" x14ac:dyDescent="0.2">
      <c r="B462" s="39"/>
    </row>
    <row r="463" spans="2:2" x14ac:dyDescent="0.2">
      <c r="B463" s="39"/>
    </row>
    <row r="464" spans="2:2" x14ac:dyDescent="0.2">
      <c r="B464" s="39"/>
    </row>
    <row r="465" spans="2:2" x14ac:dyDescent="0.2">
      <c r="B465" s="39"/>
    </row>
    <row r="466" spans="2:2" x14ac:dyDescent="0.2">
      <c r="B466" s="39"/>
    </row>
    <row r="467" spans="2:2" x14ac:dyDescent="0.2">
      <c r="B467" s="39"/>
    </row>
    <row r="468" spans="2:2" x14ac:dyDescent="0.2">
      <c r="B468" s="39"/>
    </row>
    <row r="469" spans="2:2" x14ac:dyDescent="0.2">
      <c r="B469" s="39"/>
    </row>
    <row r="470" spans="2:2" x14ac:dyDescent="0.2">
      <c r="B470" s="39"/>
    </row>
    <row r="471" spans="2:2" x14ac:dyDescent="0.2">
      <c r="B471" s="39"/>
    </row>
    <row r="472" spans="2:2" x14ac:dyDescent="0.2">
      <c r="B472" s="39"/>
    </row>
    <row r="473" spans="2:2" x14ac:dyDescent="0.2">
      <c r="B473" s="39"/>
    </row>
    <row r="474" spans="2:2" x14ac:dyDescent="0.2">
      <c r="B474" s="39"/>
    </row>
    <row r="475" spans="2:2" x14ac:dyDescent="0.2">
      <c r="B475" s="39"/>
    </row>
    <row r="476" spans="2:2" x14ac:dyDescent="0.2">
      <c r="B476" s="39"/>
    </row>
    <row r="477" spans="2:2" x14ac:dyDescent="0.2">
      <c r="B477" s="39"/>
    </row>
    <row r="478" spans="2:2" x14ac:dyDescent="0.2">
      <c r="B478" s="39"/>
    </row>
    <row r="479" spans="2:2" x14ac:dyDescent="0.2">
      <c r="B479" s="39"/>
    </row>
    <row r="480" spans="2:2" x14ac:dyDescent="0.2">
      <c r="B480" s="39"/>
    </row>
    <row r="481" spans="2:2" x14ac:dyDescent="0.2">
      <c r="B481" s="39"/>
    </row>
    <row r="482" spans="2:2" x14ac:dyDescent="0.2">
      <c r="B482" s="39"/>
    </row>
    <row r="483" spans="2:2" x14ac:dyDescent="0.2">
      <c r="B483" s="39"/>
    </row>
    <row r="484" spans="2:2" x14ac:dyDescent="0.2">
      <c r="B484" s="39"/>
    </row>
    <row r="485" spans="2:2" x14ac:dyDescent="0.2">
      <c r="B485" s="39"/>
    </row>
    <row r="486" spans="2:2" x14ac:dyDescent="0.2">
      <c r="B486" s="39"/>
    </row>
    <row r="487" spans="2:2" x14ac:dyDescent="0.2">
      <c r="B487" s="39"/>
    </row>
    <row r="488" spans="2:2" x14ac:dyDescent="0.2">
      <c r="B488" s="39"/>
    </row>
    <row r="489" spans="2:2" x14ac:dyDescent="0.2">
      <c r="B489" s="39"/>
    </row>
    <row r="490" spans="2:2" x14ac:dyDescent="0.2">
      <c r="B490" s="39"/>
    </row>
    <row r="491" spans="2:2" x14ac:dyDescent="0.2">
      <c r="B491" s="40"/>
    </row>
    <row r="492" spans="2:2" x14ac:dyDescent="0.2">
      <c r="B492" s="40"/>
    </row>
    <row r="493" spans="2:2" x14ac:dyDescent="0.2">
      <c r="B493" s="40"/>
    </row>
    <row r="494" spans="2:2" x14ac:dyDescent="0.2">
      <c r="B494" s="40"/>
    </row>
    <row r="495" spans="2:2" x14ac:dyDescent="0.2">
      <c r="B495" s="40"/>
    </row>
    <row r="496" spans="2:2" x14ac:dyDescent="0.2">
      <c r="B496" s="40"/>
    </row>
    <row r="497" spans="2:2" x14ac:dyDescent="0.2">
      <c r="B497" s="40"/>
    </row>
    <row r="498" spans="2:2" x14ac:dyDescent="0.2">
      <c r="B498" s="40"/>
    </row>
    <row r="499" spans="2:2" x14ac:dyDescent="0.2">
      <c r="B499" s="40"/>
    </row>
    <row r="500" spans="2:2" x14ac:dyDescent="0.2">
      <c r="B500" s="40"/>
    </row>
    <row r="501" spans="2:2" x14ac:dyDescent="0.2">
      <c r="B501" s="40"/>
    </row>
    <row r="502" spans="2:2" x14ac:dyDescent="0.2">
      <c r="B502" s="40"/>
    </row>
    <row r="503" spans="2:2" x14ac:dyDescent="0.2">
      <c r="B503" s="40"/>
    </row>
    <row r="504" spans="2:2" x14ac:dyDescent="0.2">
      <c r="B504" s="40"/>
    </row>
    <row r="505" spans="2:2" x14ac:dyDescent="0.2">
      <c r="B505" s="40"/>
    </row>
    <row r="506" spans="2:2" x14ac:dyDescent="0.2">
      <c r="B506" s="40"/>
    </row>
    <row r="507" spans="2:2" x14ac:dyDescent="0.2">
      <c r="B507" s="40"/>
    </row>
    <row r="508" spans="2:2" x14ac:dyDescent="0.2">
      <c r="B508" s="40"/>
    </row>
    <row r="509" spans="2:2" x14ac:dyDescent="0.2">
      <c r="B509" s="40"/>
    </row>
    <row r="510" spans="2:2" x14ac:dyDescent="0.2">
      <c r="B510" s="40"/>
    </row>
    <row r="511" spans="2:2" x14ac:dyDescent="0.2">
      <c r="B511" s="40"/>
    </row>
    <row r="512" spans="2:2" x14ac:dyDescent="0.2">
      <c r="B512" s="40"/>
    </row>
  </sheetData>
  <mergeCells count="5">
    <mergeCell ref="B2:J2"/>
    <mergeCell ref="G11:H11"/>
    <mergeCell ref="G17:H17"/>
    <mergeCell ref="L4:N4"/>
    <mergeCell ref="D7:G7"/>
  </mergeCells>
  <phoneticPr fontId="3" type="noConversion"/>
  <dataValidations count="2">
    <dataValidation showInputMessage="1" showErrorMessage="1" errorTitle="ERROR" error="UD. INGRESO UN VALOR NO PERMITIDO_x000a_" promptTitle="ADVERTENCIA DE INGRESO DE ..." prompt="INGRESE UN VALOR ENTRE 1 Y 100" sqref="F5"/>
    <dataValidation type="list" allowBlank="1" showInputMessage="1" showErrorMessage="1" errorTitle="MENSAJE DE ERROR" error="Por favor borrar el_x000a_dato y hacer clic en_x000a_el botón de la_x000a_ventana desplegable_x000a_para seleccionar un aopción." promptTitle="MENSAJE DE SELECCIÓN" prompt="Hacer clic en el botón _x000a_de la ventana desplegable_x000a_y seleccionar una opción." sqref="J5">
      <formula1>$B$7:$B$8</formula1>
    </dataValidation>
  </dataValidations>
  <pageMargins left="0.75" right="0.75" top="1" bottom="1" header="0" footer="0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9" r:id="rId4" name="CmdResulProp">
          <controlPr defaultSize="0" autoLine="0" r:id="rId5">
            <anchor moveWithCells="1">
              <from>
                <xdr:col>11</xdr:col>
                <xdr:colOff>314325</xdr:colOff>
                <xdr:row>11</xdr:row>
                <xdr:rowOff>57150</xdr:rowOff>
              </from>
              <to>
                <xdr:col>13</xdr:col>
                <xdr:colOff>476250</xdr:colOff>
                <xdr:row>14</xdr:row>
                <xdr:rowOff>95250</xdr:rowOff>
              </to>
            </anchor>
          </controlPr>
        </control>
      </mc:Choice>
      <mc:Fallback>
        <control shapeId="6149" r:id="rId4" name="CmdResulProp"/>
      </mc:Fallback>
    </mc:AlternateContent>
    <mc:AlternateContent xmlns:mc="http://schemas.openxmlformats.org/markup-compatibility/2006">
      <mc:Choice Requires="x14">
        <control shapeId="6148" r:id="rId6" name="CmdVolverP">
          <controlPr defaultSize="0" autoLine="0" r:id="rId7">
            <anchor moveWithCells="1">
              <from>
                <xdr:col>9</xdr:col>
                <xdr:colOff>504825</xdr:colOff>
                <xdr:row>12</xdr:row>
                <xdr:rowOff>38100</xdr:rowOff>
              </from>
              <to>
                <xdr:col>11</xdr:col>
                <xdr:colOff>190500</xdr:colOff>
                <xdr:row>14</xdr:row>
                <xdr:rowOff>76200</xdr:rowOff>
              </to>
            </anchor>
          </controlPr>
        </control>
      </mc:Choice>
      <mc:Fallback>
        <control shapeId="6148" r:id="rId6" name="CmdVolverP"/>
      </mc:Fallback>
    </mc:AlternateContent>
    <mc:AlternateContent xmlns:mc="http://schemas.openxmlformats.org/markup-compatibility/2006">
      <mc:Choice Requires="x14">
        <control shapeId="6147" r:id="rId8" name="CmdLimpiarProp">
          <controlPr defaultSize="0" autoLine="0" r:id="rId9">
            <anchor moveWithCells="1">
              <from>
                <xdr:col>12</xdr:col>
                <xdr:colOff>104775</xdr:colOff>
                <xdr:row>8</xdr:row>
                <xdr:rowOff>47625</xdr:rowOff>
              </from>
              <to>
                <xdr:col>13</xdr:col>
                <xdr:colOff>609600</xdr:colOff>
                <xdr:row>10</xdr:row>
                <xdr:rowOff>133350</xdr:rowOff>
              </to>
            </anchor>
          </controlPr>
        </control>
      </mc:Choice>
      <mc:Fallback>
        <control shapeId="6147" r:id="rId8" name="CmdLimpiarPro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L522"/>
  <sheetViews>
    <sheetView zoomScale="85" workbookViewId="0">
      <selection activeCell="J23" sqref="J23"/>
    </sheetView>
  </sheetViews>
  <sheetFormatPr defaultColWidth="11.42578125" defaultRowHeight="12.75" x14ac:dyDescent="0.2"/>
  <cols>
    <col min="1" max="1" width="1.5703125" style="99" customWidth="1"/>
    <col min="2" max="2" width="11.42578125" style="98"/>
    <col min="3" max="3" width="7.7109375" style="99" customWidth="1"/>
    <col min="4" max="4" width="10" style="99" customWidth="1"/>
    <col min="5" max="5" width="7.7109375" style="99" customWidth="1"/>
    <col min="6" max="6" width="12" style="99" customWidth="1"/>
    <col min="7" max="7" width="1.85546875" style="99" customWidth="1"/>
    <col min="8" max="8" width="15.5703125" style="99" customWidth="1"/>
    <col min="9" max="9" width="2.42578125" style="99" customWidth="1"/>
    <col min="10" max="10" width="12.42578125" style="99" customWidth="1"/>
    <col min="11" max="11" width="3.28515625" style="99" customWidth="1"/>
    <col min="12" max="12" width="16.85546875" style="99" customWidth="1"/>
    <col min="13" max="13" width="1.85546875" style="99" customWidth="1"/>
    <col min="14" max="14" width="10.85546875" style="99" customWidth="1"/>
    <col min="15" max="15" width="3.85546875" style="99" customWidth="1"/>
    <col min="16" max="16" width="8" style="99" customWidth="1"/>
    <col min="17" max="16384" width="11.42578125" style="99"/>
  </cols>
  <sheetData>
    <row r="1" spans="2:12" ht="6" customHeight="1" thickBot="1" x14ac:dyDescent="0.25"/>
    <row r="2" spans="2:12" ht="22.5" customHeight="1" thickBot="1" x14ac:dyDescent="0.25">
      <c r="B2" s="199" t="s">
        <v>51</v>
      </c>
      <c r="C2" s="200"/>
      <c r="D2" s="200"/>
      <c r="E2" s="200"/>
      <c r="F2" s="200"/>
      <c r="G2" s="200"/>
      <c r="H2" s="200"/>
      <c r="I2" s="200"/>
      <c r="J2" s="200"/>
      <c r="K2" s="200"/>
      <c r="L2" s="201"/>
    </row>
    <row r="3" spans="2:12" ht="6.75" customHeight="1" x14ac:dyDescent="0.2"/>
    <row r="4" spans="2:12" ht="89.25" x14ac:dyDescent="0.2">
      <c r="B4" s="112" t="s">
        <v>53</v>
      </c>
      <c r="C4" s="100"/>
      <c r="D4" s="112" t="s">
        <v>54</v>
      </c>
      <c r="E4" s="101"/>
      <c r="F4" s="112" t="s">
        <v>55</v>
      </c>
      <c r="G4" s="100"/>
      <c r="H4" s="112" t="s">
        <v>56</v>
      </c>
      <c r="J4" s="112" t="s">
        <v>52</v>
      </c>
      <c r="L4" s="112" t="s">
        <v>57</v>
      </c>
    </row>
    <row r="5" spans="2:12" x14ac:dyDescent="0.2">
      <c r="B5" s="41"/>
      <c r="D5" s="41"/>
      <c r="F5" s="41"/>
      <c r="H5" s="41"/>
      <c r="J5" s="42"/>
      <c r="L5" s="44"/>
    </row>
    <row r="6" spans="2:12" x14ac:dyDescent="0.2">
      <c r="B6" s="110" t="s">
        <v>32</v>
      </c>
      <c r="C6" s="111"/>
      <c r="D6" s="111"/>
    </row>
    <row r="7" spans="2:12" ht="15" x14ac:dyDescent="0.2">
      <c r="B7" s="113" t="s">
        <v>33</v>
      </c>
      <c r="C7" s="113"/>
      <c r="D7" s="205" t="s">
        <v>1</v>
      </c>
      <c r="E7" s="205"/>
      <c r="F7" s="205"/>
      <c r="G7" s="205"/>
      <c r="H7" s="106" t="s">
        <v>7</v>
      </c>
      <c r="I7" s="104"/>
      <c r="J7" s="119" t="s">
        <v>8</v>
      </c>
    </row>
    <row r="8" spans="2:12" x14ac:dyDescent="0.2">
      <c r="B8" s="103"/>
      <c r="C8" s="103"/>
      <c r="F8" s="117" t="s">
        <v>47</v>
      </c>
      <c r="G8" s="118"/>
      <c r="H8" s="115"/>
      <c r="I8" s="105"/>
      <c r="J8" s="116"/>
      <c r="L8" s="126" t="e">
        <f>(B5+F5)/(D5+H5)</f>
        <v>#DIV/0!</v>
      </c>
    </row>
    <row r="9" spans="2:12" x14ac:dyDescent="0.2">
      <c r="B9" s="103"/>
      <c r="C9" s="103"/>
      <c r="F9" s="117" t="s">
        <v>21</v>
      </c>
      <c r="H9" s="115"/>
      <c r="I9" s="105"/>
      <c r="J9" s="116"/>
      <c r="L9" s="126" t="e">
        <f>1-L8</f>
        <v>#DIV/0!</v>
      </c>
    </row>
    <row r="10" spans="2:12" ht="13.5" thickBot="1" x14ac:dyDescent="0.25">
      <c r="B10" s="102"/>
      <c r="C10" s="103"/>
      <c r="D10" s="103"/>
      <c r="E10" s="103"/>
      <c r="F10" s="103"/>
      <c r="G10" s="103"/>
      <c r="H10" s="103"/>
      <c r="I10" s="103"/>
    </row>
    <row r="11" spans="2:12" ht="15.75" x14ac:dyDescent="0.25">
      <c r="B11" s="69" t="s">
        <v>35</v>
      </c>
      <c r="C11" s="70"/>
      <c r="D11" s="70"/>
      <c r="E11" s="70"/>
      <c r="F11" s="70"/>
      <c r="G11" s="178">
        <f>L5</f>
        <v>0</v>
      </c>
      <c r="H11" s="179"/>
      <c r="I11" s="103"/>
      <c r="J11" s="202" t="s">
        <v>37</v>
      </c>
      <c r="K11" s="203"/>
      <c r="L11" s="204"/>
    </row>
    <row r="12" spans="2:12" x14ac:dyDescent="0.2">
      <c r="B12" s="99"/>
      <c r="I12" s="103"/>
      <c r="J12" s="78" t="s">
        <v>58</v>
      </c>
      <c r="K12" s="87" t="s">
        <v>40</v>
      </c>
      <c r="L12" s="75">
        <v>0</v>
      </c>
    </row>
    <row r="13" spans="2:12" ht="13.5" thickBot="1" x14ac:dyDescent="0.25">
      <c r="B13" s="120" t="s">
        <v>24</v>
      </c>
      <c r="C13" s="107"/>
      <c r="E13" s="121"/>
      <c r="F13" s="105"/>
      <c r="I13" s="103"/>
      <c r="J13" s="79" t="s">
        <v>59</v>
      </c>
      <c r="K13" s="76" t="str">
        <f>IF(L5="Mayor que","&gt;","&lt;")</f>
        <v>&lt;</v>
      </c>
      <c r="L13" s="77">
        <v>0</v>
      </c>
    </row>
    <row r="14" spans="2:12" x14ac:dyDescent="0.2">
      <c r="B14" s="114" t="s">
        <v>36</v>
      </c>
      <c r="C14" s="122"/>
      <c r="D14" s="119" t="str">
        <f>IF($L$5="Mayor que","&lt;","&gt;")</f>
        <v>&gt;</v>
      </c>
      <c r="E14" s="114" t="s">
        <v>27</v>
      </c>
      <c r="F14" s="123"/>
      <c r="G14" s="114" t="s">
        <v>25</v>
      </c>
      <c r="H14" s="114"/>
      <c r="I14" s="103"/>
    </row>
    <row r="15" spans="2:12" x14ac:dyDescent="0.2">
      <c r="B15" s="114" t="s">
        <v>36</v>
      </c>
      <c r="C15" s="122"/>
      <c r="D15" s="119" t="str">
        <f>IF($L$5="Mayor que","&gt;","&lt;")</f>
        <v>&lt;</v>
      </c>
      <c r="E15" s="114" t="s">
        <v>27</v>
      </c>
      <c r="F15" s="123"/>
      <c r="G15" s="114" t="s">
        <v>26</v>
      </c>
      <c r="H15" s="114"/>
    </row>
    <row r="16" spans="2:12" x14ac:dyDescent="0.2">
      <c r="B16" s="99"/>
    </row>
    <row r="17" spans="2:8" ht="15.75" x14ac:dyDescent="0.25">
      <c r="B17" s="69" t="s">
        <v>35</v>
      </c>
      <c r="C17" s="70"/>
      <c r="D17" s="70"/>
      <c r="E17" s="70"/>
      <c r="F17" s="70"/>
      <c r="G17" s="178" t="s">
        <v>34</v>
      </c>
      <c r="H17" s="179"/>
    </row>
    <row r="18" spans="2:8" ht="6.75" customHeight="1" x14ac:dyDescent="0.25">
      <c r="B18" s="124"/>
    </row>
    <row r="19" spans="2:8" x14ac:dyDescent="0.2">
      <c r="B19" s="120" t="s">
        <v>24</v>
      </c>
      <c r="C19" s="107"/>
      <c r="E19" s="121"/>
      <c r="F19" s="105"/>
    </row>
    <row r="20" spans="2:8" x14ac:dyDescent="0.2">
      <c r="B20" s="114" t="s">
        <v>36</v>
      </c>
      <c r="C20" s="122"/>
      <c r="D20" s="119" t="str">
        <f>IF($L$5="Mayor que","&lt;","&gt;")</f>
        <v>&gt;</v>
      </c>
      <c r="E20" s="114" t="s">
        <v>27</v>
      </c>
      <c r="F20" s="123"/>
      <c r="G20" s="114" t="s">
        <v>25</v>
      </c>
      <c r="H20" s="114"/>
    </row>
    <row r="21" spans="2:8" x14ac:dyDescent="0.2">
      <c r="B21" s="114" t="s">
        <v>36</v>
      </c>
      <c r="C21" s="125"/>
      <c r="D21" s="119" t="str">
        <f>IF($L$5="Mayor que","&gt;","&lt;")</f>
        <v>&lt;</v>
      </c>
      <c r="E21" s="114" t="s">
        <v>27</v>
      </c>
      <c r="F21" s="123"/>
      <c r="G21" s="114" t="s">
        <v>26</v>
      </c>
      <c r="H21" s="114"/>
    </row>
    <row r="22" spans="2:8" x14ac:dyDescent="0.2">
      <c r="B22" s="102"/>
      <c r="E22" s="103"/>
      <c r="F22" s="103"/>
      <c r="G22" s="103"/>
      <c r="H22" s="103"/>
    </row>
    <row r="23" spans="2:8" x14ac:dyDescent="0.2">
      <c r="B23" s="102"/>
    </row>
    <row r="24" spans="2:8" x14ac:dyDescent="0.2">
      <c r="B24" s="102"/>
    </row>
    <row r="25" spans="2:8" x14ac:dyDescent="0.2">
      <c r="B25" s="102"/>
    </row>
    <row r="26" spans="2:8" x14ac:dyDescent="0.2">
      <c r="B26" s="102"/>
    </row>
    <row r="27" spans="2:8" x14ac:dyDescent="0.2">
      <c r="B27" s="102"/>
    </row>
    <row r="28" spans="2:8" x14ac:dyDescent="0.2">
      <c r="B28" s="102"/>
    </row>
    <row r="29" spans="2:8" x14ac:dyDescent="0.2">
      <c r="B29" s="102"/>
    </row>
    <row r="30" spans="2:8" x14ac:dyDescent="0.2">
      <c r="B30" s="102"/>
    </row>
    <row r="31" spans="2:8" x14ac:dyDescent="0.2">
      <c r="B31" s="102"/>
    </row>
    <row r="32" spans="2:8" x14ac:dyDescent="0.2">
      <c r="B32" s="102"/>
    </row>
    <row r="33" spans="2:2" x14ac:dyDescent="0.2">
      <c r="B33" s="102"/>
    </row>
    <row r="34" spans="2:2" x14ac:dyDescent="0.2">
      <c r="B34" s="102"/>
    </row>
    <row r="35" spans="2:2" x14ac:dyDescent="0.2">
      <c r="B35" s="102"/>
    </row>
    <row r="36" spans="2:2" x14ac:dyDescent="0.2">
      <c r="B36" s="102"/>
    </row>
    <row r="37" spans="2:2" x14ac:dyDescent="0.2">
      <c r="B37" s="102"/>
    </row>
    <row r="38" spans="2:2" x14ac:dyDescent="0.2">
      <c r="B38" s="102"/>
    </row>
    <row r="39" spans="2:2" x14ac:dyDescent="0.2">
      <c r="B39" s="102"/>
    </row>
    <row r="40" spans="2:2" x14ac:dyDescent="0.2">
      <c r="B40" s="102"/>
    </row>
    <row r="41" spans="2:2" x14ac:dyDescent="0.2">
      <c r="B41" s="102"/>
    </row>
    <row r="42" spans="2:2" x14ac:dyDescent="0.2">
      <c r="B42" s="102"/>
    </row>
    <row r="43" spans="2:2" x14ac:dyDescent="0.2">
      <c r="B43" s="102"/>
    </row>
    <row r="44" spans="2:2" x14ac:dyDescent="0.2">
      <c r="B44" s="102"/>
    </row>
    <row r="45" spans="2:2" x14ac:dyDescent="0.2">
      <c r="B45" s="102"/>
    </row>
    <row r="46" spans="2:2" x14ac:dyDescent="0.2">
      <c r="B46" s="102"/>
    </row>
    <row r="47" spans="2:2" x14ac:dyDescent="0.2">
      <c r="B47" s="102"/>
    </row>
    <row r="48" spans="2:2" x14ac:dyDescent="0.2">
      <c r="B48" s="102"/>
    </row>
    <row r="49" spans="2:2" x14ac:dyDescent="0.2">
      <c r="B49" s="102"/>
    </row>
    <row r="50" spans="2:2" x14ac:dyDescent="0.2">
      <c r="B50" s="102"/>
    </row>
    <row r="51" spans="2:2" x14ac:dyDescent="0.2">
      <c r="B51" s="102"/>
    </row>
    <row r="52" spans="2:2" x14ac:dyDescent="0.2">
      <c r="B52" s="102"/>
    </row>
    <row r="53" spans="2:2" x14ac:dyDescent="0.2">
      <c r="B53" s="102"/>
    </row>
    <row r="54" spans="2:2" x14ac:dyDescent="0.2">
      <c r="B54" s="102"/>
    </row>
    <row r="55" spans="2:2" x14ac:dyDescent="0.2">
      <c r="B55" s="102"/>
    </row>
    <row r="56" spans="2:2" x14ac:dyDescent="0.2">
      <c r="B56" s="102"/>
    </row>
    <row r="57" spans="2:2" x14ac:dyDescent="0.2">
      <c r="B57" s="102"/>
    </row>
    <row r="58" spans="2:2" x14ac:dyDescent="0.2">
      <c r="B58" s="102"/>
    </row>
    <row r="59" spans="2:2" x14ac:dyDescent="0.2">
      <c r="B59" s="102"/>
    </row>
    <row r="60" spans="2:2" x14ac:dyDescent="0.2">
      <c r="B60" s="102"/>
    </row>
    <row r="61" spans="2:2" x14ac:dyDescent="0.2">
      <c r="B61" s="102"/>
    </row>
    <row r="62" spans="2:2" x14ac:dyDescent="0.2">
      <c r="B62" s="102"/>
    </row>
    <row r="63" spans="2:2" x14ac:dyDescent="0.2">
      <c r="B63" s="102"/>
    </row>
    <row r="64" spans="2:2" x14ac:dyDescent="0.2">
      <c r="B64" s="102"/>
    </row>
    <row r="65" spans="2:2" x14ac:dyDescent="0.2">
      <c r="B65" s="102"/>
    </row>
    <row r="66" spans="2:2" x14ac:dyDescent="0.2">
      <c r="B66" s="102"/>
    </row>
    <row r="67" spans="2:2" x14ac:dyDescent="0.2">
      <c r="B67" s="102"/>
    </row>
    <row r="68" spans="2:2" x14ac:dyDescent="0.2">
      <c r="B68" s="102"/>
    </row>
    <row r="69" spans="2:2" x14ac:dyDescent="0.2">
      <c r="B69" s="102"/>
    </row>
    <row r="70" spans="2:2" x14ac:dyDescent="0.2">
      <c r="B70" s="102"/>
    </row>
    <row r="71" spans="2:2" x14ac:dyDescent="0.2">
      <c r="B71" s="102"/>
    </row>
    <row r="72" spans="2:2" x14ac:dyDescent="0.2">
      <c r="B72" s="102"/>
    </row>
    <row r="73" spans="2:2" x14ac:dyDescent="0.2">
      <c r="B73" s="102"/>
    </row>
    <row r="74" spans="2:2" x14ac:dyDescent="0.2">
      <c r="B74" s="102"/>
    </row>
    <row r="75" spans="2:2" x14ac:dyDescent="0.2">
      <c r="B75" s="102"/>
    </row>
    <row r="76" spans="2:2" x14ac:dyDescent="0.2">
      <c r="B76" s="102"/>
    </row>
    <row r="77" spans="2:2" x14ac:dyDescent="0.2">
      <c r="B77" s="102"/>
    </row>
    <row r="78" spans="2:2" x14ac:dyDescent="0.2">
      <c r="B78" s="102"/>
    </row>
    <row r="79" spans="2:2" x14ac:dyDescent="0.2">
      <c r="B79" s="102"/>
    </row>
    <row r="80" spans="2:2" x14ac:dyDescent="0.2">
      <c r="B80" s="102"/>
    </row>
    <row r="81" spans="2:2" x14ac:dyDescent="0.2">
      <c r="B81" s="102"/>
    </row>
    <row r="82" spans="2:2" x14ac:dyDescent="0.2">
      <c r="B82" s="102"/>
    </row>
    <row r="83" spans="2:2" x14ac:dyDescent="0.2">
      <c r="B83" s="102"/>
    </row>
    <row r="84" spans="2:2" x14ac:dyDescent="0.2">
      <c r="B84" s="102"/>
    </row>
    <row r="85" spans="2:2" x14ac:dyDescent="0.2">
      <c r="B85" s="102"/>
    </row>
    <row r="86" spans="2:2" x14ac:dyDescent="0.2">
      <c r="B86" s="102"/>
    </row>
    <row r="87" spans="2:2" x14ac:dyDescent="0.2">
      <c r="B87" s="102"/>
    </row>
    <row r="88" spans="2:2" x14ac:dyDescent="0.2">
      <c r="B88" s="102"/>
    </row>
    <row r="89" spans="2:2" x14ac:dyDescent="0.2">
      <c r="B89" s="102"/>
    </row>
    <row r="90" spans="2:2" x14ac:dyDescent="0.2">
      <c r="B90" s="102"/>
    </row>
    <row r="91" spans="2:2" x14ac:dyDescent="0.2">
      <c r="B91" s="102"/>
    </row>
    <row r="92" spans="2:2" x14ac:dyDescent="0.2">
      <c r="B92" s="102"/>
    </row>
    <row r="93" spans="2:2" x14ac:dyDescent="0.2">
      <c r="B93" s="102"/>
    </row>
    <row r="94" spans="2:2" x14ac:dyDescent="0.2">
      <c r="B94" s="102"/>
    </row>
    <row r="95" spans="2:2" x14ac:dyDescent="0.2">
      <c r="B95" s="102"/>
    </row>
    <row r="96" spans="2:2" x14ac:dyDescent="0.2">
      <c r="B96" s="102"/>
    </row>
    <row r="97" spans="2:2" x14ac:dyDescent="0.2">
      <c r="B97" s="102"/>
    </row>
    <row r="98" spans="2:2" x14ac:dyDescent="0.2">
      <c r="B98" s="102"/>
    </row>
    <row r="99" spans="2:2" x14ac:dyDescent="0.2">
      <c r="B99" s="102"/>
    </row>
    <row r="100" spans="2:2" x14ac:dyDescent="0.2">
      <c r="B100" s="102"/>
    </row>
    <row r="101" spans="2:2" x14ac:dyDescent="0.2">
      <c r="B101" s="108"/>
    </row>
    <row r="102" spans="2:2" x14ac:dyDescent="0.2">
      <c r="B102" s="108"/>
    </row>
    <row r="103" spans="2:2" x14ac:dyDescent="0.2">
      <c r="B103" s="108"/>
    </row>
    <row r="104" spans="2:2" x14ac:dyDescent="0.2">
      <c r="B104" s="108"/>
    </row>
    <row r="105" spans="2:2" x14ac:dyDescent="0.2">
      <c r="B105" s="108"/>
    </row>
    <row r="106" spans="2:2" x14ac:dyDescent="0.2">
      <c r="B106" s="108"/>
    </row>
    <row r="107" spans="2:2" x14ac:dyDescent="0.2">
      <c r="B107" s="108"/>
    </row>
    <row r="108" spans="2:2" x14ac:dyDescent="0.2">
      <c r="B108" s="108"/>
    </row>
    <row r="109" spans="2:2" x14ac:dyDescent="0.2">
      <c r="B109" s="108"/>
    </row>
    <row r="110" spans="2:2" x14ac:dyDescent="0.2">
      <c r="B110" s="108"/>
    </row>
    <row r="111" spans="2:2" x14ac:dyDescent="0.2">
      <c r="B111" s="108"/>
    </row>
    <row r="112" spans="2:2" x14ac:dyDescent="0.2">
      <c r="B112" s="108"/>
    </row>
    <row r="113" spans="2:2" x14ac:dyDescent="0.2">
      <c r="B113" s="108"/>
    </row>
    <row r="114" spans="2:2" x14ac:dyDescent="0.2">
      <c r="B114" s="108"/>
    </row>
    <row r="115" spans="2:2" x14ac:dyDescent="0.2">
      <c r="B115" s="108"/>
    </row>
    <row r="116" spans="2:2" x14ac:dyDescent="0.2">
      <c r="B116" s="108"/>
    </row>
    <row r="117" spans="2:2" x14ac:dyDescent="0.2">
      <c r="B117" s="108"/>
    </row>
    <row r="118" spans="2:2" x14ac:dyDescent="0.2">
      <c r="B118" s="108"/>
    </row>
    <row r="119" spans="2:2" x14ac:dyDescent="0.2">
      <c r="B119" s="108"/>
    </row>
    <row r="120" spans="2:2" x14ac:dyDescent="0.2">
      <c r="B120" s="108"/>
    </row>
    <row r="121" spans="2:2" x14ac:dyDescent="0.2">
      <c r="B121" s="108"/>
    </row>
    <row r="122" spans="2:2" x14ac:dyDescent="0.2">
      <c r="B122" s="108"/>
    </row>
    <row r="123" spans="2:2" x14ac:dyDescent="0.2">
      <c r="B123" s="108"/>
    </row>
    <row r="124" spans="2:2" x14ac:dyDescent="0.2">
      <c r="B124" s="108"/>
    </row>
    <row r="125" spans="2:2" x14ac:dyDescent="0.2">
      <c r="B125" s="108"/>
    </row>
    <row r="126" spans="2:2" x14ac:dyDescent="0.2">
      <c r="B126" s="108"/>
    </row>
    <row r="127" spans="2:2" x14ac:dyDescent="0.2">
      <c r="B127" s="108"/>
    </row>
    <row r="128" spans="2:2" x14ac:dyDescent="0.2">
      <c r="B128" s="108"/>
    </row>
    <row r="129" spans="2:2" x14ac:dyDescent="0.2">
      <c r="B129" s="108"/>
    </row>
    <row r="130" spans="2:2" x14ac:dyDescent="0.2">
      <c r="B130" s="108"/>
    </row>
    <row r="131" spans="2:2" x14ac:dyDescent="0.2">
      <c r="B131" s="108"/>
    </row>
    <row r="132" spans="2:2" x14ac:dyDescent="0.2">
      <c r="B132" s="108"/>
    </row>
    <row r="133" spans="2:2" x14ac:dyDescent="0.2">
      <c r="B133" s="108"/>
    </row>
    <row r="134" spans="2:2" x14ac:dyDescent="0.2">
      <c r="B134" s="108"/>
    </row>
    <row r="135" spans="2:2" x14ac:dyDescent="0.2">
      <c r="B135" s="108"/>
    </row>
    <row r="136" spans="2:2" x14ac:dyDescent="0.2">
      <c r="B136" s="108"/>
    </row>
    <row r="137" spans="2:2" x14ac:dyDescent="0.2">
      <c r="B137" s="108"/>
    </row>
    <row r="138" spans="2:2" x14ac:dyDescent="0.2">
      <c r="B138" s="108"/>
    </row>
    <row r="139" spans="2:2" x14ac:dyDescent="0.2">
      <c r="B139" s="108"/>
    </row>
    <row r="140" spans="2:2" x14ac:dyDescent="0.2">
      <c r="B140" s="108"/>
    </row>
    <row r="141" spans="2:2" x14ac:dyDescent="0.2">
      <c r="B141" s="108"/>
    </row>
    <row r="142" spans="2:2" x14ac:dyDescent="0.2">
      <c r="B142" s="108"/>
    </row>
    <row r="143" spans="2:2" x14ac:dyDescent="0.2">
      <c r="B143" s="108"/>
    </row>
    <row r="144" spans="2:2" x14ac:dyDescent="0.2">
      <c r="B144" s="108"/>
    </row>
    <row r="145" spans="2:2" x14ac:dyDescent="0.2">
      <c r="B145" s="108"/>
    </row>
    <row r="146" spans="2:2" x14ac:dyDescent="0.2">
      <c r="B146" s="108"/>
    </row>
    <row r="147" spans="2:2" x14ac:dyDescent="0.2">
      <c r="B147" s="108"/>
    </row>
    <row r="148" spans="2:2" x14ac:dyDescent="0.2">
      <c r="B148" s="108"/>
    </row>
    <row r="149" spans="2:2" x14ac:dyDescent="0.2">
      <c r="B149" s="108"/>
    </row>
    <row r="150" spans="2:2" x14ac:dyDescent="0.2">
      <c r="B150" s="108"/>
    </row>
    <row r="151" spans="2:2" x14ac:dyDescent="0.2">
      <c r="B151" s="108"/>
    </row>
    <row r="152" spans="2:2" x14ac:dyDescent="0.2">
      <c r="B152" s="108"/>
    </row>
    <row r="153" spans="2:2" x14ac:dyDescent="0.2">
      <c r="B153" s="108"/>
    </row>
    <row r="154" spans="2:2" x14ac:dyDescent="0.2">
      <c r="B154" s="108"/>
    </row>
    <row r="155" spans="2:2" x14ac:dyDescent="0.2">
      <c r="B155" s="108"/>
    </row>
    <row r="156" spans="2:2" x14ac:dyDescent="0.2">
      <c r="B156" s="108"/>
    </row>
    <row r="157" spans="2:2" x14ac:dyDescent="0.2">
      <c r="B157" s="108"/>
    </row>
    <row r="158" spans="2:2" x14ac:dyDescent="0.2">
      <c r="B158" s="108"/>
    </row>
    <row r="159" spans="2:2" x14ac:dyDescent="0.2">
      <c r="B159" s="108"/>
    </row>
    <row r="160" spans="2:2" x14ac:dyDescent="0.2">
      <c r="B160" s="108"/>
    </row>
    <row r="161" spans="2:2" x14ac:dyDescent="0.2">
      <c r="B161" s="108"/>
    </row>
    <row r="162" spans="2:2" x14ac:dyDescent="0.2">
      <c r="B162" s="108"/>
    </row>
    <row r="163" spans="2:2" x14ac:dyDescent="0.2">
      <c r="B163" s="108"/>
    </row>
    <row r="164" spans="2:2" x14ac:dyDescent="0.2">
      <c r="B164" s="108"/>
    </row>
    <row r="165" spans="2:2" x14ac:dyDescent="0.2">
      <c r="B165" s="108"/>
    </row>
    <row r="166" spans="2:2" x14ac:dyDescent="0.2">
      <c r="B166" s="108"/>
    </row>
    <row r="167" spans="2:2" x14ac:dyDescent="0.2">
      <c r="B167" s="108"/>
    </row>
    <row r="168" spans="2:2" x14ac:dyDescent="0.2">
      <c r="B168" s="108"/>
    </row>
    <row r="169" spans="2:2" x14ac:dyDescent="0.2">
      <c r="B169" s="108"/>
    </row>
    <row r="170" spans="2:2" x14ac:dyDescent="0.2">
      <c r="B170" s="108"/>
    </row>
    <row r="171" spans="2:2" x14ac:dyDescent="0.2">
      <c r="B171" s="108"/>
    </row>
    <row r="172" spans="2:2" x14ac:dyDescent="0.2">
      <c r="B172" s="108"/>
    </row>
    <row r="173" spans="2:2" x14ac:dyDescent="0.2">
      <c r="B173" s="108"/>
    </row>
    <row r="174" spans="2:2" x14ac:dyDescent="0.2">
      <c r="B174" s="108"/>
    </row>
    <row r="175" spans="2:2" x14ac:dyDescent="0.2">
      <c r="B175" s="108"/>
    </row>
    <row r="176" spans="2:2" x14ac:dyDescent="0.2">
      <c r="B176" s="108"/>
    </row>
    <row r="177" spans="2:2" x14ac:dyDescent="0.2">
      <c r="B177" s="108"/>
    </row>
    <row r="178" spans="2:2" x14ac:dyDescent="0.2">
      <c r="B178" s="108"/>
    </row>
    <row r="179" spans="2:2" x14ac:dyDescent="0.2">
      <c r="B179" s="108"/>
    </row>
    <row r="180" spans="2:2" x14ac:dyDescent="0.2">
      <c r="B180" s="108"/>
    </row>
    <row r="181" spans="2:2" x14ac:dyDescent="0.2">
      <c r="B181" s="108"/>
    </row>
    <row r="182" spans="2:2" x14ac:dyDescent="0.2">
      <c r="B182" s="108"/>
    </row>
    <row r="183" spans="2:2" x14ac:dyDescent="0.2">
      <c r="B183" s="108"/>
    </row>
    <row r="184" spans="2:2" x14ac:dyDescent="0.2">
      <c r="B184" s="108"/>
    </row>
    <row r="185" spans="2:2" x14ac:dyDescent="0.2">
      <c r="B185" s="108"/>
    </row>
    <row r="186" spans="2:2" x14ac:dyDescent="0.2">
      <c r="B186" s="108"/>
    </row>
    <row r="187" spans="2:2" x14ac:dyDescent="0.2">
      <c r="B187" s="108"/>
    </row>
    <row r="188" spans="2:2" x14ac:dyDescent="0.2">
      <c r="B188" s="108"/>
    </row>
    <row r="189" spans="2:2" x14ac:dyDescent="0.2">
      <c r="B189" s="108"/>
    </row>
    <row r="190" spans="2:2" x14ac:dyDescent="0.2">
      <c r="B190" s="108"/>
    </row>
    <row r="191" spans="2:2" x14ac:dyDescent="0.2">
      <c r="B191" s="108"/>
    </row>
    <row r="192" spans="2:2" x14ac:dyDescent="0.2">
      <c r="B192" s="108"/>
    </row>
    <row r="193" spans="2:2" x14ac:dyDescent="0.2">
      <c r="B193" s="108"/>
    </row>
    <row r="194" spans="2:2" x14ac:dyDescent="0.2">
      <c r="B194" s="108"/>
    </row>
    <row r="195" spans="2:2" x14ac:dyDescent="0.2">
      <c r="B195" s="108"/>
    </row>
    <row r="196" spans="2:2" x14ac:dyDescent="0.2">
      <c r="B196" s="108"/>
    </row>
    <row r="197" spans="2:2" x14ac:dyDescent="0.2">
      <c r="B197" s="108"/>
    </row>
    <row r="198" spans="2:2" x14ac:dyDescent="0.2">
      <c r="B198" s="108"/>
    </row>
    <row r="199" spans="2:2" x14ac:dyDescent="0.2">
      <c r="B199" s="108"/>
    </row>
    <row r="200" spans="2:2" x14ac:dyDescent="0.2">
      <c r="B200" s="108"/>
    </row>
    <row r="201" spans="2:2" x14ac:dyDescent="0.2">
      <c r="B201" s="108"/>
    </row>
    <row r="202" spans="2:2" x14ac:dyDescent="0.2">
      <c r="B202" s="108"/>
    </row>
    <row r="203" spans="2:2" x14ac:dyDescent="0.2">
      <c r="B203" s="108"/>
    </row>
    <row r="204" spans="2:2" x14ac:dyDescent="0.2">
      <c r="B204" s="108"/>
    </row>
    <row r="205" spans="2:2" x14ac:dyDescent="0.2">
      <c r="B205" s="108"/>
    </row>
    <row r="206" spans="2:2" x14ac:dyDescent="0.2">
      <c r="B206" s="108"/>
    </row>
    <row r="207" spans="2:2" x14ac:dyDescent="0.2">
      <c r="B207" s="108"/>
    </row>
    <row r="208" spans="2:2" x14ac:dyDescent="0.2">
      <c r="B208" s="108"/>
    </row>
    <row r="209" spans="2:2" x14ac:dyDescent="0.2">
      <c r="B209" s="108"/>
    </row>
    <row r="210" spans="2:2" x14ac:dyDescent="0.2">
      <c r="B210" s="108"/>
    </row>
    <row r="211" spans="2:2" x14ac:dyDescent="0.2">
      <c r="B211" s="108"/>
    </row>
    <row r="212" spans="2:2" x14ac:dyDescent="0.2">
      <c r="B212" s="108"/>
    </row>
    <row r="213" spans="2:2" x14ac:dyDescent="0.2">
      <c r="B213" s="108"/>
    </row>
    <row r="214" spans="2:2" x14ac:dyDescent="0.2">
      <c r="B214" s="108"/>
    </row>
    <row r="215" spans="2:2" x14ac:dyDescent="0.2">
      <c r="B215" s="108"/>
    </row>
    <row r="216" spans="2:2" x14ac:dyDescent="0.2">
      <c r="B216" s="108"/>
    </row>
    <row r="217" spans="2:2" x14ac:dyDescent="0.2">
      <c r="B217" s="108"/>
    </row>
    <row r="218" spans="2:2" x14ac:dyDescent="0.2">
      <c r="B218" s="108"/>
    </row>
    <row r="219" spans="2:2" x14ac:dyDescent="0.2">
      <c r="B219" s="108"/>
    </row>
    <row r="220" spans="2:2" x14ac:dyDescent="0.2">
      <c r="B220" s="108"/>
    </row>
    <row r="221" spans="2:2" x14ac:dyDescent="0.2">
      <c r="B221" s="108"/>
    </row>
    <row r="222" spans="2:2" x14ac:dyDescent="0.2">
      <c r="B222" s="108"/>
    </row>
    <row r="223" spans="2:2" x14ac:dyDescent="0.2">
      <c r="B223" s="108"/>
    </row>
    <row r="224" spans="2:2" x14ac:dyDescent="0.2">
      <c r="B224" s="108"/>
    </row>
    <row r="225" spans="2:2" x14ac:dyDescent="0.2">
      <c r="B225" s="108"/>
    </row>
    <row r="226" spans="2:2" x14ac:dyDescent="0.2">
      <c r="B226" s="108"/>
    </row>
    <row r="227" spans="2:2" x14ac:dyDescent="0.2">
      <c r="B227" s="108"/>
    </row>
    <row r="228" spans="2:2" x14ac:dyDescent="0.2">
      <c r="B228" s="108"/>
    </row>
    <row r="229" spans="2:2" x14ac:dyDescent="0.2">
      <c r="B229" s="108"/>
    </row>
    <row r="230" spans="2:2" x14ac:dyDescent="0.2">
      <c r="B230" s="108"/>
    </row>
    <row r="231" spans="2:2" x14ac:dyDescent="0.2">
      <c r="B231" s="108"/>
    </row>
    <row r="232" spans="2:2" x14ac:dyDescent="0.2">
      <c r="B232" s="108"/>
    </row>
    <row r="233" spans="2:2" x14ac:dyDescent="0.2">
      <c r="B233" s="108"/>
    </row>
    <row r="234" spans="2:2" x14ac:dyDescent="0.2">
      <c r="B234" s="108"/>
    </row>
    <row r="235" spans="2:2" x14ac:dyDescent="0.2">
      <c r="B235" s="108"/>
    </row>
    <row r="236" spans="2:2" x14ac:dyDescent="0.2">
      <c r="B236" s="108"/>
    </row>
    <row r="237" spans="2:2" x14ac:dyDescent="0.2">
      <c r="B237" s="108"/>
    </row>
    <row r="238" spans="2:2" x14ac:dyDescent="0.2">
      <c r="B238" s="108"/>
    </row>
    <row r="239" spans="2:2" x14ac:dyDescent="0.2">
      <c r="B239" s="108"/>
    </row>
    <row r="240" spans="2:2" x14ac:dyDescent="0.2">
      <c r="B240" s="108"/>
    </row>
    <row r="241" spans="2:2" x14ac:dyDescent="0.2">
      <c r="B241" s="108"/>
    </row>
    <row r="242" spans="2:2" x14ac:dyDescent="0.2">
      <c r="B242" s="108"/>
    </row>
    <row r="243" spans="2:2" x14ac:dyDescent="0.2">
      <c r="B243" s="108"/>
    </row>
    <row r="244" spans="2:2" x14ac:dyDescent="0.2">
      <c r="B244" s="108"/>
    </row>
    <row r="245" spans="2:2" x14ac:dyDescent="0.2">
      <c r="B245" s="108"/>
    </row>
    <row r="246" spans="2:2" x14ac:dyDescent="0.2">
      <c r="B246" s="108"/>
    </row>
    <row r="247" spans="2:2" x14ac:dyDescent="0.2">
      <c r="B247" s="108"/>
    </row>
    <row r="248" spans="2:2" x14ac:dyDescent="0.2">
      <c r="B248" s="108"/>
    </row>
    <row r="249" spans="2:2" x14ac:dyDescent="0.2">
      <c r="B249" s="108"/>
    </row>
    <row r="250" spans="2:2" x14ac:dyDescent="0.2">
      <c r="B250" s="108"/>
    </row>
    <row r="251" spans="2:2" x14ac:dyDescent="0.2">
      <c r="B251" s="108"/>
    </row>
    <row r="252" spans="2:2" x14ac:dyDescent="0.2">
      <c r="B252" s="108"/>
    </row>
    <row r="253" spans="2:2" x14ac:dyDescent="0.2">
      <c r="B253" s="108"/>
    </row>
    <row r="254" spans="2:2" x14ac:dyDescent="0.2">
      <c r="B254" s="108"/>
    </row>
    <row r="255" spans="2:2" x14ac:dyDescent="0.2">
      <c r="B255" s="108"/>
    </row>
    <row r="256" spans="2:2" x14ac:dyDescent="0.2">
      <c r="B256" s="108"/>
    </row>
    <row r="257" spans="2:2" x14ac:dyDescent="0.2">
      <c r="B257" s="108"/>
    </row>
    <row r="258" spans="2:2" x14ac:dyDescent="0.2">
      <c r="B258" s="108"/>
    </row>
    <row r="259" spans="2:2" x14ac:dyDescent="0.2">
      <c r="B259" s="108"/>
    </row>
    <row r="260" spans="2:2" x14ac:dyDescent="0.2">
      <c r="B260" s="108"/>
    </row>
    <row r="261" spans="2:2" x14ac:dyDescent="0.2">
      <c r="B261" s="108"/>
    </row>
    <row r="262" spans="2:2" x14ac:dyDescent="0.2">
      <c r="B262" s="108"/>
    </row>
    <row r="263" spans="2:2" x14ac:dyDescent="0.2">
      <c r="B263" s="108"/>
    </row>
    <row r="264" spans="2:2" x14ac:dyDescent="0.2">
      <c r="B264" s="108"/>
    </row>
    <row r="265" spans="2:2" x14ac:dyDescent="0.2">
      <c r="B265" s="108"/>
    </row>
    <row r="266" spans="2:2" x14ac:dyDescent="0.2">
      <c r="B266" s="108"/>
    </row>
    <row r="267" spans="2:2" x14ac:dyDescent="0.2">
      <c r="B267" s="108"/>
    </row>
    <row r="268" spans="2:2" x14ac:dyDescent="0.2">
      <c r="B268" s="108"/>
    </row>
    <row r="269" spans="2:2" x14ac:dyDescent="0.2">
      <c r="B269" s="108"/>
    </row>
    <row r="270" spans="2:2" x14ac:dyDescent="0.2">
      <c r="B270" s="108"/>
    </row>
    <row r="271" spans="2:2" x14ac:dyDescent="0.2">
      <c r="B271" s="108"/>
    </row>
    <row r="272" spans="2:2" x14ac:dyDescent="0.2">
      <c r="B272" s="108"/>
    </row>
    <row r="273" spans="2:2" x14ac:dyDescent="0.2">
      <c r="B273" s="108"/>
    </row>
    <row r="274" spans="2:2" x14ac:dyDescent="0.2">
      <c r="B274" s="108"/>
    </row>
    <row r="275" spans="2:2" x14ac:dyDescent="0.2">
      <c r="B275" s="108"/>
    </row>
    <row r="276" spans="2:2" x14ac:dyDescent="0.2">
      <c r="B276" s="108"/>
    </row>
    <row r="277" spans="2:2" x14ac:dyDescent="0.2">
      <c r="B277" s="108"/>
    </row>
    <row r="278" spans="2:2" x14ac:dyDescent="0.2">
      <c r="B278" s="108"/>
    </row>
    <row r="279" spans="2:2" x14ac:dyDescent="0.2">
      <c r="B279" s="108"/>
    </row>
    <row r="280" spans="2:2" x14ac:dyDescent="0.2">
      <c r="B280" s="108"/>
    </row>
    <row r="281" spans="2:2" x14ac:dyDescent="0.2">
      <c r="B281" s="108"/>
    </row>
    <row r="282" spans="2:2" x14ac:dyDescent="0.2">
      <c r="B282" s="108"/>
    </row>
    <row r="283" spans="2:2" x14ac:dyDescent="0.2">
      <c r="B283" s="108"/>
    </row>
    <row r="284" spans="2:2" x14ac:dyDescent="0.2">
      <c r="B284" s="108"/>
    </row>
    <row r="285" spans="2:2" x14ac:dyDescent="0.2">
      <c r="B285" s="108"/>
    </row>
    <row r="286" spans="2:2" x14ac:dyDescent="0.2">
      <c r="B286" s="108"/>
    </row>
    <row r="287" spans="2:2" x14ac:dyDescent="0.2">
      <c r="B287" s="108"/>
    </row>
    <row r="288" spans="2:2" x14ac:dyDescent="0.2">
      <c r="B288" s="108"/>
    </row>
    <row r="289" spans="2:2" x14ac:dyDescent="0.2">
      <c r="B289" s="108"/>
    </row>
    <row r="290" spans="2:2" x14ac:dyDescent="0.2">
      <c r="B290" s="108"/>
    </row>
    <row r="291" spans="2:2" x14ac:dyDescent="0.2">
      <c r="B291" s="108"/>
    </row>
    <row r="292" spans="2:2" x14ac:dyDescent="0.2">
      <c r="B292" s="108"/>
    </row>
    <row r="293" spans="2:2" x14ac:dyDescent="0.2">
      <c r="B293" s="108"/>
    </row>
    <row r="294" spans="2:2" x14ac:dyDescent="0.2">
      <c r="B294" s="108"/>
    </row>
    <row r="295" spans="2:2" x14ac:dyDescent="0.2">
      <c r="B295" s="108"/>
    </row>
    <row r="296" spans="2:2" x14ac:dyDescent="0.2">
      <c r="B296" s="108"/>
    </row>
    <row r="297" spans="2:2" x14ac:dyDescent="0.2">
      <c r="B297" s="108"/>
    </row>
    <row r="298" spans="2:2" x14ac:dyDescent="0.2">
      <c r="B298" s="108"/>
    </row>
    <row r="299" spans="2:2" x14ac:dyDescent="0.2">
      <c r="B299" s="108"/>
    </row>
    <row r="300" spans="2:2" x14ac:dyDescent="0.2">
      <c r="B300" s="108"/>
    </row>
    <row r="301" spans="2:2" x14ac:dyDescent="0.2">
      <c r="B301" s="108"/>
    </row>
    <row r="302" spans="2:2" x14ac:dyDescent="0.2">
      <c r="B302" s="108"/>
    </row>
    <row r="303" spans="2:2" x14ac:dyDescent="0.2">
      <c r="B303" s="108"/>
    </row>
    <row r="304" spans="2:2" x14ac:dyDescent="0.2">
      <c r="B304" s="108"/>
    </row>
    <row r="305" spans="2:2" x14ac:dyDescent="0.2">
      <c r="B305" s="108"/>
    </row>
    <row r="306" spans="2:2" x14ac:dyDescent="0.2">
      <c r="B306" s="108"/>
    </row>
    <row r="307" spans="2:2" x14ac:dyDescent="0.2">
      <c r="B307" s="108"/>
    </row>
    <row r="308" spans="2:2" x14ac:dyDescent="0.2">
      <c r="B308" s="108"/>
    </row>
    <row r="309" spans="2:2" x14ac:dyDescent="0.2">
      <c r="B309" s="108"/>
    </row>
    <row r="310" spans="2:2" x14ac:dyDescent="0.2">
      <c r="B310" s="108"/>
    </row>
    <row r="311" spans="2:2" x14ac:dyDescent="0.2">
      <c r="B311" s="108"/>
    </row>
    <row r="312" spans="2:2" x14ac:dyDescent="0.2">
      <c r="B312" s="108"/>
    </row>
    <row r="313" spans="2:2" x14ac:dyDescent="0.2">
      <c r="B313" s="108"/>
    </row>
    <row r="314" spans="2:2" x14ac:dyDescent="0.2">
      <c r="B314" s="108"/>
    </row>
    <row r="315" spans="2:2" x14ac:dyDescent="0.2">
      <c r="B315" s="108"/>
    </row>
    <row r="316" spans="2:2" x14ac:dyDescent="0.2">
      <c r="B316" s="108"/>
    </row>
    <row r="317" spans="2:2" x14ac:dyDescent="0.2">
      <c r="B317" s="108"/>
    </row>
    <row r="318" spans="2:2" x14ac:dyDescent="0.2">
      <c r="B318" s="108"/>
    </row>
    <row r="319" spans="2:2" x14ac:dyDescent="0.2">
      <c r="B319" s="108"/>
    </row>
    <row r="320" spans="2:2" x14ac:dyDescent="0.2">
      <c r="B320" s="108"/>
    </row>
    <row r="321" spans="2:2" x14ac:dyDescent="0.2">
      <c r="B321" s="108"/>
    </row>
    <row r="322" spans="2:2" x14ac:dyDescent="0.2">
      <c r="B322" s="108"/>
    </row>
    <row r="323" spans="2:2" x14ac:dyDescent="0.2">
      <c r="B323" s="108"/>
    </row>
    <row r="324" spans="2:2" x14ac:dyDescent="0.2">
      <c r="B324" s="108"/>
    </row>
    <row r="325" spans="2:2" x14ac:dyDescent="0.2">
      <c r="B325" s="108"/>
    </row>
    <row r="326" spans="2:2" x14ac:dyDescent="0.2">
      <c r="B326" s="108"/>
    </row>
    <row r="327" spans="2:2" x14ac:dyDescent="0.2">
      <c r="B327" s="108"/>
    </row>
    <row r="328" spans="2:2" x14ac:dyDescent="0.2">
      <c r="B328" s="108"/>
    </row>
    <row r="329" spans="2:2" x14ac:dyDescent="0.2">
      <c r="B329" s="108"/>
    </row>
    <row r="330" spans="2:2" x14ac:dyDescent="0.2">
      <c r="B330" s="108"/>
    </row>
    <row r="331" spans="2:2" x14ac:dyDescent="0.2">
      <c r="B331" s="108"/>
    </row>
    <row r="332" spans="2:2" x14ac:dyDescent="0.2">
      <c r="B332" s="108"/>
    </row>
    <row r="333" spans="2:2" x14ac:dyDescent="0.2">
      <c r="B333" s="108"/>
    </row>
    <row r="334" spans="2:2" x14ac:dyDescent="0.2">
      <c r="B334" s="108"/>
    </row>
    <row r="335" spans="2:2" x14ac:dyDescent="0.2">
      <c r="B335" s="108"/>
    </row>
    <row r="336" spans="2:2" x14ac:dyDescent="0.2">
      <c r="B336" s="108"/>
    </row>
    <row r="337" spans="2:2" x14ac:dyDescent="0.2">
      <c r="B337" s="108"/>
    </row>
    <row r="338" spans="2:2" x14ac:dyDescent="0.2">
      <c r="B338" s="108"/>
    </row>
    <row r="339" spans="2:2" x14ac:dyDescent="0.2">
      <c r="B339" s="108"/>
    </row>
    <row r="340" spans="2:2" x14ac:dyDescent="0.2">
      <c r="B340" s="108"/>
    </row>
    <row r="341" spans="2:2" x14ac:dyDescent="0.2">
      <c r="B341" s="108"/>
    </row>
    <row r="342" spans="2:2" x14ac:dyDescent="0.2">
      <c r="B342" s="108"/>
    </row>
    <row r="343" spans="2:2" x14ac:dyDescent="0.2">
      <c r="B343" s="108"/>
    </row>
    <row r="344" spans="2:2" x14ac:dyDescent="0.2">
      <c r="B344" s="108"/>
    </row>
    <row r="345" spans="2:2" x14ac:dyDescent="0.2">
      <c r="B345" s="108"/>
    </row>
    <row r="346" spans="2:2" x14ac:dyDescent="0.2">
      <c r="B346" s="108"/>
    </row>
    <row r="347" spans="2:2" x14ac:dyDescent="0.2">
      <c r="B347" s="108"/>
    </row>
    <row r="348" spans="2:2" x14ac:dyDescent="0.2">
      <c r="B348" s="108"/>
    </row>
    <row r="349" spans="2:2" x14ac:dyDescent="0.2">
      <c r="B349" s="108"/>
    </row>
    <row r="350" spans="2:2" x14ac:dyDescent="0.2">
      <c r="B350" s="108"/>
    </row>
    <row r="351" spans="2:2" x14ac:dyDescent="0.2">
      <c r="B351" s="108"/>
    </row>
    <row r="352" spans="2:2" x14ac:dyDescent="0.2">
      <c r="B352" s="108"/>
    </row>
    <row r="353" spans="2:2" x14ac:dyDescent="0.2">
      <c r="B353" s="108"/>
    </row>
    <row r="354" spans="2:2" x14ac:dyDescent="0.2">
      <c r="B354" s="108"/>
    </row>
    <row r="355" spans="2:2" x14ac:dyDescent="0.2">
      <c r="B355" s="108"/>
    </row>
    <row r="356" spans="2:2" x14ac:dyDescent="0.2">
      <c r="B356" s="108"/>
    </row>
    <row r="357" spans="2:2" x14ac:dyDescent="0.2">
      <c r="B357" s="108"/>
    </row>
    <row r="358" spans="2:2" x14ac:dyDescent="0.2">
      <c r="B358" s="108"/>
    </row>
    <row r="359" spans="2:2" x14ac:dyDescent="0.2">
      <c r="B359" s="108"/>
    </row>
    <row r="360" spans="2:2" x14ac:dyDescent="0.2">
      <c r="B360" s="108"/>
    </row>
    <row r="361" spans="2:2" x14ac:dyDescent="0.2">
      <c r="B361" s="108"/>
    </row>
    <row r="362" spans="2:2" x14ac:dyDescent="0.2">
      <c r="B362" s="108"/>
    </row>
    <row r="363" spans="2:2" x14ac:dyDescent="0.2">
      <c r="B363" s="108"/>
    </row>
    <row r="364" spans="2:2" x14ac:dyDescent="0.2">
      <c r="B364" s="108"/>
    </row>
    <row r="365" spans="2:2" x14ac:dyDescent="0.2">
      <c r="B365" s="108"/>
    </row>
    <row r="366" spans="2:2" x14ac:dyDescent="0.2">
      <c r="B366" s="108"/>
    </row>
    <row r="367" spans="2:2" x14ac:dyDescent="0.2">
      <c r="B367" s="108"/>
    </row>
    <row r="368" spans="2:2" x14ac:dyDescent="0.2">
      <c r="B368" s="108"/>
    </row>
    <row r="369" spans="2:2" x14ac:dyDescent="0.2">
      <c r="B369" s="108"/>
    </row>
    <row r="370" spans="2:2" x14ac:dyDescent="0.2">
      <c r="B370" s="108"/>
    </row>
    <row r="371" spans="2:2" x14ac:dyDescent="0.2">
      <c r="B371" s="108"/>
    </row>
    <row r="372" spans="2:2" x14ac:dyDescent="0.2">
      <c r="B372" s="108"/>
    </row>
    <row r="373" spans="2:2" x14ac:dyDescent="0.2">
      <c r="B373" s="108"/>
    </row>
    <row r="374" spans="2:2" x14ac:dyDescent="0.2">
      <c r="B374" s="108"/>
    </row>
    <row r="375" spans="2:2" x14ac:dyDescent="0.2">
      <c r="B375" s="108"/>
    </row>
    <row r="376" spans="2:2" x14ac:dyDescent="0.2">
      <c r="B376" s="108"/>
    </row>
    <row r="377" spans="2:2" x14ac:dyDescent="0.2">
      <c r="B377" s="108"/>
    </row>
    <row r="378" spans="2:2" x14ac:dyDescent="0.2">
      <c r="B378" s="108"/>
    </row>
    <row r="379" spans="2:2" x14ac:dyDescent="0.2">
      <c r="B379" s="108"/>
    </row>
    <row r="380" spans="2:2" x14ac:dyDescent="0.2">
      <c r="B380" s="108"/>
    </row>
    <row r="381" spans="2:2" x14ac:dyDescent="0.2">
      <c r="B381" s="108"/>
    </row>
    <row r="382" spans="2:2" x14ac:dyDescent="0.2">
      <c r="B382" s="108"/>
    </row>
    <row r="383" spans="2:2" x14ac:dyDescent="0.2">
      <c r="B383" s="108"/>
    </row>
    <row r="384" spans="2:2" x14ac:dyDescent="0.2">
      <c r="B384" s="108"/>
    </row>
    <row r="385" spans="2:2" x14ac:dyDescent="0.2">
      <c r="B385" s="108"/>
    </row>
    <row r="386" spans="2:2" x14ac:dyDescent="0.2">
      <c r="B386" s="108"/>
    </row>
    <row r="387" spans="2:2" x14ac:dyDescent="0.2">
      <c r="B387" s="108"/>
    </row>
    <row r="388" spans="2:2" x14ac:dyDescent="0.2">
      <c r="B388" s="108"/>
    </row>
    <row r="389" spans="2:2" x14ac:dyDescent="0.2">
      <c r="B389" s="108"/>
    </row>
    <row r="390" spans="2:2" x14ac:dyDescent="0.2">
      <c r="B390" s="108"/>
    </row>
    <row r="391" spans="2:2" x14ac:dyDescent="0.2">
      <c r="B391" s="108"/>
    </row>
    <row r="392" spans="2:2" x14ac:dyDescent="0.2">
      <c r="B392" s="108"/>
    </row>
    <row r="393" spans="2:2" x14ac:dyDescent="0.2">
      <c r="B393" s="108"/>
    </row>
    <row r="394" spans="2:2" x14ac:dyDescent="0.2">
      <c r="B394" s="108"/>
    </row>
    <row r="395" spans="2:2" x14ac:dyDescent="0.2">
      <c r="B395" s="108"/>
    </row>
    <row r="396" spans="2:2" x14ac:dyDescent="0.2">
      <c r="B396" s="108"/>
    </row>
    <row r="397" spans="2:2" x14ac:dyDescent="0.2">
      <c r="B397" s="108"/>
    </row>
    <row r="398" spans="2:2" x14ac:dyDescent="0.2">
      <c r="B398" s="108"/>
    </row>
    <row r="399" spans="2:2" x14ac:dyDescent="0.2">
      <c r="B399" s="108"/>
    </row>
    <row r="400" spans="2:2" x14ac:dyDescent="0.2">
      <c r="B400" s="108"/>
    </row>
    <row r="401" spans="2:2" x14ac:dyDescent="0.2">
      <c r="B401" s="108"/>
    </row>
    <row r="402" spans="2:2" x14ac:dyDescent="0.2">
      <c r="B402" s="108"/>
    </row>
    <row r="403" spans="2:2" x14ac:dyDescent="0.2">
      <c r="B403" s="108"/>
    </row>
    <row r="404" spans="2:2" x14ac:dyDescent="0.2">
      <c r="B404" s="108"/>
    </row>
    <row r="405" spans="2:2" x14ac:dyDescent="0.2">
      <c r="B405" s="108"/>
    </row>
    <row r="406" spans="2:2" x14ac:dyDescent="0.2">
      <c r="B406" s="108"/>
    </row>
    <row r="407" spans="2:2" x14ac:dyDescent="0.2">
      <c r="B407" s="108"/>
    </row>
    <row r="408" spans="2:2" x14ac:dyDescent="0.2">
      <c r="B408" s="108"/>
    </row>
    <row r="409" spans="2:2" x14ac:dyDescent="0.2">
      <c r="B409" s="108"/>
    </row>
    <row r="410" spans="2:2" x14ac:dyDescent="0.2">
      <c r="B410" s="108"/>
    </row>
    <row r="411" spans="2:2" x14ac:dyDescent="0.2">
      <c r="B411" s="108"/>
    </row>
    <row r="412" spans="2:2" x14ac:dyDescent="0.2">
      <c r="B412" s="108"/>
    </row>
    <row r="413" spans="2:2" x14ac:dyDescent="0.2">
      <c r="B413" s="108"/>
    </row>
    <row r="414" spans="2:2" x14ac:dyDescent="0.2">
      <c r="B414" s="108"/>
    </row>
    <row r="415" spans="2:2" x14ac:dyDescent="0.2">
      <c r="B415" s="108"/>
    </row>
    <row r="416" spans="2:2" x14ac:dyDescent="0.2">
      <c r="B416" s="108"/>
    </row>
    <row r="417" spans="2:2" x14ac:dyDescent="0.2">
      <c r="B417" s="108"/>
    </row>
    <row r="418" spans="2:2" x14ac:dyDescent="0.2">
      <c r="B418" s="108"/>
    </row>
    <row r="419" spans="2:2" x14ac:dyDescent="0.2">
      <c r="B419" s="108"/>
    </row>
    <row r="420" spans="2:2" x14ac:dyDescent="0.2">
      <c r="B420" s="108"/>
    </row>
    <row r="421" spans="2:2" x14ac:dyDescent="0.2">
      <c r="B421" s="108"/>
    </row>
    <row r="422" spans="2:2" x14ac:dyDescent="0.2">
      <c r="B422" s="108"/>
    </row>
    <row r="423" spans="2:2" x14ac:dyDescent="0.2">
      <c r="B423" s="108"/>
    </row>
    <row r="424" spans="2:2" x14ac:dyDescent="0.2">
      <c r="B424" s="108"/>
    </row>
    <row r="425" spans="2:2" x14ac:dyDescent="0.2">
      <c r="B425" s="108"/>
    </row>
    <row r="426" spans="2:2" x14ac:dyDescent="0.2">
      <c r="B426" s="108"/>
    </row>
    <row r="427" spans="2:2" x14ac:dyDescent="0.2">
      <c r="B427" s="108"/>
    </row>
    <row r="428" spans="2:2" x14ac:dyDescent="0.2">
      <c r="B428" s="108"/>
    </row>
    <row r="429" spans="2:2" x14ac:dyDescent="0.2">
      <c r="B429" s="108"/>
    </row>
    <row r="430" spans="2:2" x14ac:dyDescent="0.2">
      <c r="B430" s="108"/>
    </row>
    <row r="431" spans="2:2" x14ac:dyDescent="0.2">
      <c r="B431" s="108"/>
    </row>
    <row r="432" spans="2:2" x14ac:dyDescent="0.2">
      <c r="B432" s="108"/>
    </row>
    <row r="433" spans="2:2" x14ac:dyDescent="0.2">
      <c r="B433" s="108"/>
    </row>
    <row r="434" spans="2:2" x14ac:dyDescent="0.2">
      <c r="B434" s="108"/>
    </row>
    <row r="435" spans="2:2" x14ac:dyDescent="0.2">
      <c r="B435" s="108"/>
    </row>
    <row r="436" spans="2:2" x14ac:dyDescent="0.2">
      <c r="B436" s="108"/>
    </row>
    <row r="437" spans="2:2" x14ac:dyDescent="0.2">
      <c r="B437" s="108"/>
    </row>
    <row r="438" spans="2:2" x14ac:dyDescent="0.2">
      <c r="B438" s="108"/>
    </row>
    <row r="439" spans="2:2" x14ac:dyDescent="0.2">
      <c r="B439" s="108"/>
    </row>
    <row r="440" spans="2:2" x14ac:dyDescent="0.2">
      <c r="B440" s="108"/>
    </row>
    <row r="441" spans="2:2" x14ac:dyDescent="0.2">
      <c r="B441" s="108"/>
    </row>
    <row r="442" spans="2:2" x14ac:dyDescent="0.2">
      <c r="B442" s="108"/>
    </row>
    <row r="443" spans="2:2" x14ac:dyDescent="0.2">
      <c r="B443" s="108"/>
    </row>
    <row r="444" spans="2:2" x14ac:dyDescent="0.2">
      <c r="B444" s="108"/>
    </row>
    <row r="445" spans="2:2" x14ac:dyDescent="0.2">
      <c r="B445" s="108"/>
    </row>
    <row r="446" spans="2:2" x14ac:dyDescent="0.2">
      <c r="B446" s="108"/>
    </row>
    <row r="447" spans="2:2" x14ac:dyDescent="0.2">
      <c r="B447" s="108"/>
    </row>
    <row r="448" spans="2:2" x14ac:dyDescent="0.2">
      <c r="B448" s="108"/>
    </row>
    <row r="449" spans="2:2" x14ac:dyDescent="0.2">
      <c r="B449" s="108"/>
    </row>
    <row r="450" spans="2:2" x14ac:dyDescent="0.2">
      <c r="B450" s="108"/>
    </row>
    <row r="451" spans="2:2" x14ac:dyDescent="0.2">
      <c r="B451" s="108"/>
    </row>
    <row r="452" spans="2:2" x14ac:dyDescent="0.2">
      <c r="B452" s="108"/>
    </row>
    <row r="453" spans="2:2" x14ac:dyDescent="0.2">
      <c r="B453" s="108"/>
    </row>
    <row r="454" spans="2:2" x14ac:dyDescent="0.2">
      <c r="B454" s="108"/>
    </row>
    <row r="455" spans="2:2" x14ac:dyDescent="0.2">
      <c r="B455" s="108"/>
    </row>
    <row r="456" spans="2:2" x14ac:dyDescent="0.2">
      <c r="B456" s="108"/>
    </row>
    <row r="457" spans="2:2" x14ac:dyDescent="0.2">
      <c r="B457" s="108"/>
    </row>
    <row r="458" spans="2:2" x14ac:dyDescent="0.2">
      <c r="B458" s="108"/>
    </row>
    <row r="459" spans="2:2" x14ac:dyDescent="0.2">
      <c r="B459" s="108"/>
    </row>
    <row r="460" spans="2:2" x14ac:dyDescent="0.2">
      <c r="B460" s="108"/>
    </row>
    <row r="461" spans="2:2" x14ac:dyDescent="0.2">
      <c r="B461" s="108"/>
    </row>
    <row r="462" spans="2:2" x14ac:dyDescent="0.2">
      <c r="B462" s="108"/>
    </row>
    <row r="463" spans="2:2" x14ac:dyDescent="0.2">
      <c r="B463" s="108"/>
    </row>
    <row r="464" spans="2:2" x14ac:dyDescent="0.2">
      <c r="B464" s="108"/>
    </row>
    <row r="465" spans="2:2" x14ac:dyDescent="0.2">
      <c r="B465" s="108"/>
    </row>
    <row r="466" spans="2:2" x14ac:dyDescent="0.2">
      <c r="B466" s="108"/>
    </row>
    <row r="467" spans="2:2" x14ac:dyDescent="0.2">
      <c r="B467" s="108"/>
    </row>
    <row r="468" spans="2:2" x14ac:dyDescent="0.2">
      <c r="B468" s="108"/>
    </row>
    <row r="469" spans="2:2" x14ac:dyDescent="0.2">
      <c r="B469" s="108"/>
    </row>
    <row r="470" spans="2:2" x14ac:dyDescent="0.2">
      <c r="B470" s="108"/>
    </row>
    <row r="471" spans="2:2" x14ac:dyDescent="0.2">
      <c r="B471" s="108"/>
    </row>
    <row r="472" spans="2:2" x14ac:dyDescent="0.2">
      <c r="B472" s="108"/>
    </row>
    <row r="473" spans="2:2" x14ac:dyDescent="0.2">
      <c r="B473" s="108"/>
    </row>
    <row r="474" spans="2:2" x14ac:dyDescent="0.2">
      <c r="B474" s="108"/>
    </row>
    <row r="475" spans="2:2" x14ac:dyDescent="0.2">
      <c r="B475" s="108"/>
    </row>
    <row r="476" spans="2:2" x14ac:dyDescent="0.2">
      <c r="B476" s="108"/>
    </row>
    <row r="477" spans="2:2" x14ac:dyDescent="0.2">
      <c r="B477" s="108"/>
    </row>
    <row r="478" spans="2:2" x14ac:dyDescent="0.2">
      <c r="B478" s="108"/>
    </row>
    <row r="479" spans="2:2" x14ac:dyDescent="0.2">
      <c r="B479" s="108"/>
    </row>
    <row r="480" spans="2:2" x14ac:dyDescent="0.2">
      <c r="B480" s="108"/>
    </row>
    <row r="481" spans="2:2" x14ac:dyDescent="0.2">
      <c r="B481" s="108"/>
    </row>
    <row r="482" spans="2:2" x14ac:dyDescent="0.2">
      <c r="B482" s="108"/>
    </row>
    <row r="483" spans="2:2" x14ac:dyDescent="0.2">
      <c r="B483" s="108"/>
    </row>
    <row r="484" spans="2:2" x14ac:dyDescent="0.2">
      <c r="B484" s="108"/>
    </row>
    <row r="485" spans="2:2" x14ac:dyDescent="0.2">
      <c r="B485" s="108"/>
    </row>
    <row r="486" spans="2:2" x14ac:dyDescent="0.2">
      <c r="B486" s="108"/>
    </row>
    <row r="487" spans="2:2" x14ac:dyDescent="0.2">
      <c r="B487" s="108"/>
    </row>
    <row r="488" spans="2:2" x14ac:dyDescent="0.2">
      <c r="B488" s="108"/>
    </row>
    <row r="489" spans="2:2" x14ac:dyDescent="0.2">
      <c r="B489" s="108"/>
    </row>
    <row r="490" spans="2:2" x14ac:dyDescent="0.2">
      <c r="B490" s="108"/>
    </row>
    <row r="491" spans="2:2" x14ac:dyDescent="0.2">
      <c r="B491" s="108"/>
    </row>
    <row r="492" spans="2:2" x14ac:dyDescent="0.2">
      <c r="B492" s="108"/>
    </row>
    <row r="493" spans="2:2" x14ac:dyDescent="0.2">
      <c r="B493" s="108"/>
    </row>
    <row r="494" spans="2:2" x14ac:dyDescent="0.2">
      <c r="B494" s="108"/>
    </row>
    <row r="495" spans="2:2" x14ac:dyDescent="0.2">
      <c r="B495" s="108"/>
    </row>
    <row r="496" spans="2:2" x14ac:dyDescent="0.2">
      <c r="B496" s="108"/>
    </row>
    <row r="497" spans="2:2" x14ac:dyDescent="0.2">
      <c r="B497" s="108"/>
    </row>
    <row r="498" spans="2:2" x14ac:dyDescent="0.2">
      <c r="B498" s="108"/>
    </row>
    <row r="499" spans="2:2" x14ac:dyDescent="0.2">
      <c r="B499" s="108"/>
    </row>
    <row r="500" spans="2:2" x14ac:dyDescent="0.2">
      <c r="B500" s="108"/>
    </row>
    <row r="501" spans="2:2" x14ac:dyDescent="0.2">
      <c r="B501" s="109"/>
    </row>
    <row r="502" spans="2:2" x14ac:dyDescent="0.2">
      <c r="B502" s="109"/>
    </row>
    <row r="503" spans="2:2" x14ac:dyDescent="0.2">
      <c r="B503" s="109"/>
    </row>
    <row r="504" spans="2:2" x14ac:dyDescent="0.2">
      <c r="B504" s="109"/>
    </row>
    <row r="505" spans="2:2" x14ac:dyDescent="0.2">
      <c r="B505" s="109"/>
    </row>
    <row r="506" spans="2:2" x14ac:dyDescent="0.2">
      <c r="B506" s="109"/>
    </row>
    <row r="507" spans="2:2" x14ac:dyDescent="0.2">
      <c r="B507" s="109"/>
    </row>
    <row r="508" spans="2:2" x14ac:dyDescent="0.2">
      <c r="B508" s="109"/>
    </row>
    <row r="509" spans="2:2" x14ac:dyDescent="0.2">
      <c r="B509" s="109"/>
    </row>
    <row r="510" spans="2:2" x14ac:dyDescent="0.2">
      <c r="B510" s="109"/>
    </row>
    <row r="511" spans="2:2" x14ac:dyDescent="0.2">
      <c r="B511" s="109"/>
    </row>
    <row r="512" spans="2:2" x14ac:dyDescent="0.2">
      <c r="B512" s="109"/>
    </row>
    <row r="513" spans="2:2" x14ac:dyDescent="0.2">
      <c r="B513" s="109"/>
    </row>
    <row r="514" spans="2:2" x14ac:dyDescent="0.2">
      <c r="B514" s="109"/>
    </row>
    <row r="515" spans="2:2" x14ac:dyDescent="0.2">
      <c r="B515" s="109"/>
    </row>
    <row r="516" spans="2:2" x14ac:dyDescent="0.2">
      <c r="B516" s="109"/>
    </row>
    <row r="517" spans="2:2" x14ac:dyDescent="0.2">
      <c r="B517" s="109"/>
    </row>
    <row r="518" spans="2:2" x14ac:dyDescent="0.2">
      <c r="B518" s="109"/>
    </row>
    <row r="519" spans="2:2" x14ac:dyDescent="0.2">
      <c r="B519" s="109"/>
    </row>
    <row r="520" spans="2:2" x14ac:dyDescent="0.2">
      <c r="B520" s="109"/>
    </row>
    <row r="521" spans="2:2" x14ac:dyDescent="0.2">
      <c r="B521" s="109"/>
    </row>
    <row r="522" spans="2:2" x14ac:dyDescent="0.2">
      <c r="B522" s="109"/>
    </row>
  </sheetData>
  <mergeCells count="5">
    <mergeCell ref="B2:L2"/>
    <mergeCell ref="G17:H17"/>
    <mergeCell ref="J11:L11"/>
    <mergeCell ref="D7:G7"/>
    <mergeCell ref="G11:H11"/>
  </mergeCells>
  <phoneticPr fontId="3" type="noConversion"/>
  <dataValidations count="2">
    <dataValidation showInputMessage="1" showErrorMessage="1" errorTitle="ERROR" error="UD. INGRESO UN VALOR NO PERMITIDO_x000a_" promptTitle="ADVERTENCIA DE INGRESO DE ..." prompt="INGRESE UN VALOR ENTRE 1 Y 100" sqref="J5"/>
    <dataValidation type="list" allowBlank="1" showInputMessage="1" showErrorMessage="1" errorTitle="MENSAJE DE ERROR" error="Por favor borrar el_x000a_dato y hacer clic en_x000a_el botón de la_x000a_ventana desplegable_x000a_para seleccionar un aopción." promptTitle="MENSAJE DE SELECCIÓN" prompt="Hacer clic en el botón _x000a_de la ventana desplegable_x000a_y seleccionar una opción." sqref="L5">
      <formula1>$B$6:$B$7</formula1>
    </dataValidation>
  </dataValidations>
  <pageMargins left="0.75" right="0.75" top="1" bottom="1" header="0" footer="0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1" r:id="rId4" name="CmdResulDifPro">
          <controlPr defaultSize="0" autoLine="0" r:id="rId5">
            <anchor moveWithCells="1">
              <from>
                <xdr:col>12</xdr:col>
                <xdr:colOff>66675</xdr:colOff>
                <xdr:row>3</xdr:row>
                <xdr:rowOff>47625</xdr:rowOff>
              </from>
              <to>
                <xdr:col>15</xdr:col>
                <xdr:colOff>438150</xdr:colOff>
                <xdr:row>3</xdr:row>
                <xdr:rowOff>657225</xdr:rowOff>
              </to>
            </anchor>
          </controlPr>
        </control>
      </mc:Choice>
      <mc:Fallback>
        <control shapeId="4101" r:id="rId4" name="CmdResulDifPro"/>
      </mc:Fallback>
    </mc:AlternateContent>
    <mc:AlternateContent xmlns:mc="http://schemas.openxmlformats.org/markup-compatibility/2006">
      <mc:Choice Requires="x14">
        <control shapeId="4100" r:id="rId6" name="CmdVolverDifPro">
          <controlPr defaultSize="0" autoLine="0" r:id="rId7">
            <anchor moveWithCells="1">
              <from>
                <xdr:col>13</xdr:col>
                <xdr:colOff>200025</xdr:colOff>
                <xdr:row>3</xdr:row>
                <xdr:rowOff>809625</xdr:rowOff>
              </from>
              <to>
                <xdr:col>15</xdr:col>
                <xdr:colOff>28575</xdr:colOff>
                <xdr:row>4</xdr:row>
                <xdr:rowOff>85725</xdr:rowOff>
              </to>
            </anchor>
          </controlPr>
        </control>
      </mc:Choice>
      <mc:Fallback>
        <control shapeId="4100" r:id="rId6" name="CmdVolverDifPro"/>
      </mc:Fallback>
    </mc:AlternateContent>
    <mc:AlternateContent xmlns:mc="http://schemas.openxmlformats.org/markup-compatibility/2006">
      <mc:Choice Requires="x14">
        <control shapeId="4099" r:id="rId8" name="CmdLimpiarDifPro">
          <controlPr defaultSize="0" autoLine="0" r:id="rId9">
            <anchor moveWithCells="1">
              <from>
                <xdr:col>13</xdr:col>
                <xdr:colOff>180975</xdr:colOff>
                <xdr:row>6</xdr:row>
                <xdr:rowOff>57150</xdr:rowOff>
              </from>
              <to>
                <xdr:col>15</xdr:col>
                <xdr:colOff>19050</xdr:colOff>
                <xdr:row>8</xdr:row>
                <xdr:rowOff>114300</xdr:rowOff>
              </to>
            </anchor>
          </controlPr>
        </control>
      </mc:Choice>
      <mc:Fallback>
        <control shapeId="4099" r:id="rId8" name="CmdLimpiarDifP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Lista</vt:lpstr>
      <vt:lpstr>Inicio</vt:lpstr>
      <vt:lpstr>Media</vt:lpstr>
      <vt:lpstr>DifMedias</vt:lpstr>
      <vt:lpstr>Output</vt:lpstr>
      <vt:lpstr>Proporcion</vt:lpstr>
      <vt:lpstr>DifProp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Gomez</dc:creator>
  <cp:lastModifiedBy>X</cp:lastModifiedBy>
  <cp:lastPrinted>2004-07-06T14:54:56Z</cp:lastPrinted>
  <dcterms:created xsi:type="dcterms:W3CDTF">2004-06-24T14:08:51Z</dcterms:created>
  <dcterms:modified xsi:type="dcterms:W3CDTF">2019-01-10T12:06:13Z</dcterms:modified>
</cp:coreProperties>
</file>